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4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chellyoung/Google Drive/Mitchell's School Work/2017-2018/Sem. 2/Scientific Computing/github/harmonic-oscillator-myoung2021/"/>
    </mc:Choice>
  </mc:AlternateContent>
  <bookViews>
    <workbookView xWindow="0" yWindow="460" windowWidth="28800" windowHeight="16240" tabRatio="500"/>
  </bookViews>
  <sheets>
    <sheet name="Inputs &amp; Outputs" sheetId="1" r:id="rId1"/>
    <sheet name="Calculations" sheetId="2" r:id="rId2"/>
    <sheet name="Analytical Steps" sheetId="4" r:id="rId3"/>
    <sheet name="Iterative Steps" sheetId="3" r:id="rId4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2" l="1"/>
  <c r="A11" i="1"/>
  <c r="A7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3" i="2"/>
  <c r="A7" i="2"/>
  <c r="C502" i="4"/>
  <c r="B502" i="4"/>
  <c r="D4" i="1"/>
  <c r="C2" i="3"/>
  <c r="B2" i="3"/>
  <c r="D2" i="3"/>
  <c r="C3" i="3"/>
  <c r="B3" i="3"/>
  <c r="D3" i="3"/>
  <c r="C4" i="3"/>
  <c r="B4" i="3"/>
  <c r="D4" i="3"/>
  <c r="C5" i="3"/>
  <c r="B5" i="3"/>
  <c r="D5" i="3"/>
  <c r="C6" i="3"/>
  <c r="B6" i="3"/>
  <c r="D6" i="3"/>
  <c r="C7" i="3"/>
  <c r="B7" i="3"/>
  <c r="D7" i="3"/>
  <c r="C8" i="3"/>
  <c r="B8" i="3"/>
  <c r="D8" i="3"/>
  <c r="C9" i="3"/>
  <c r="B9" i="3"/>
  <c r="D9" i="3"/>
  <c r="C10" i="3"/>
  <c r="B10" i="3"/>
  <c r="D10" i="3"/>
  <c r="C11" i="3"/>
  <c r="B11" i="3"/>
  <c r="D11" i="3"/>
  <c r="C12" i="3"/>
  <c r="B12" i="3"/>
  <c r="D12" i="3"/>
  <c r="C13" i="3"/>
  <c r="B13" i="3"/>
  <c r="D13" i="3"/>
  <c r="C14" i="3"/>
  <c r="B14" i="3"/>
  <c r="D14" i="3"/>
  <c r="C15" i="3"/>
  <c r="B15" i="3"/>
  <c r="D15" i="3"/>
  <c r="C16" i="3"/>
  <c r="B16" i="3"/>
  <c r="D16" i="3"/>
  <c r="C17" i="3"/>
  <c r="B17" i="3"/>
  <c r="D17" i="3"/>
  <c r="C18" i="3"/>
  <c r="B18" i="3"/>
  <c r="D18" i="3"/>
  <c r="C19" i="3"/>
  <c r="B19" i="3"/>
  <c r="D19" i="3"/>
  <c r="C20" i="3"/>
  <c r="B20" i="3"/>
  <c r="D20" i="3"/>
  <c r="C21" i="3"/>
  <c r="B21" i="3"/>
  <c r="D21" i="3"/>
  <c r="C22" i="3"/>
  <c r="B22" i="3"/>
  <c r="D22" i="3"/>
  <c r="C23" i="3"/>
  <c r="B23" i="3"/>
  <c r="D23" i="3"/>
  <c r="C24" i="3"/>
  <c r="B24" i="3"/>
  <c r="D24" i="3"/>
  <c r="C25" i="3"/>
  <c r="B25" i="3"/>
  <c r="D25" i="3"/>
  <c r="C26" i="3"/>
  <c r="B26" i="3"/>
  <c r="D26" i="3"/>
  <c r="C27" i="3"/>
  <c r="B27" i="3"/>
  <c r="D27" i="3"/>
  <c r="C28" i="3"/>
  <c r="B28" i="3"/>
  <c r="D28" i="3"/>
  <c r="C29" i="3"/>
  <c r="B29" i="3"/>
  <c r="D29" i="3"/>
  <c r="C30" i="3"/>
  <c r="B30" i="3"/>
  <c r="D30" i="3"/>
  <c r="C31" i="3"/>
  <c r="B31" i="3"/>
  <c r="D31" i="3"/>
  <c r="C32" i="3"/>
  <c r="B32" i="3"/>
  <c r="D32" i="3"/>
  <c r="C33" i="3"/>
  <c r="B33" i="3"/>
  <c r="D33" i="3"/>
  <c r="C34" i="3"/>
  <c r="B34" i="3"/>
  <c r="D34" i="3"/>
  <c r="C35" i="3"/>
  <c r="B35" i="3"/>
  <c r="D35" i="3"/>
  <c r="C36" i="3"/>
  <c r="B36" i="3"/>
  <c r="D36" i="3"/>
  <c r="C37" i="3"/>
  <c r="B37" i="3"/>
  <c r="D37" i="3"/>
  <c r="C38" i="3"/>
  <c r="B38" i="3"/>
  <c r="D38" i="3"/>
  <c r="C39" i="3"/>
  <c r="B39" i="3"/>
  <c r="D39" i="3"/>
  <c r="C40" i="3"/>
  <c r="B40" i="3"/>
  <c r="D40" i="3"/>
  <c r="C41" i="3"/>
  <c r="B41" i="3"/>
  <c r="D41" i="3"/>
  <c r="C42" i="3"/>
  <c r="B42" i="3"/>
  <c r="D42" i="3"/>
  <c r="C43" i="3"/>
  <c r="B43" i="3"/>
  <c r="D43" i="3"/>
  <c r="C44" i="3"/>
  <c r="B44" i="3"/>
  <c r="D44" i="3"/>
  <c r="C45" i="3"/>
  <c r="B45" i="3"/>
  <c r="D45" i="3"/>
  <c r="C46" i="3"/>
  <c r="B46" i="3"/>
  <c r="D46" i="3"/>
  <c r="C47" i="3"/>
  <c r="B47" i="3"/>
  <c r="D47" i="3"/>
  <c r="C48" i="3"/>
  <c r="B48" i="3"/>
  <c r="D48" i="3"/>
  <c r="C49" i="3"/>
  <c r="B49" i="3"/>
  <c r="D49" i="3"/>
  <c r="C50" i="3"/>
  <c r="B50" i="3"/>
  <c r="D50" i="3"/>
  <c r="C51" i="3"/>
  <c r="B51" i="3"/>
  <c r="D51" i="3"/>
  <c r="C52" i="3"/>
  <c r="B52" i="3"/>
  <c r="D52" i="3"/>
  <c r="C53" i="3"/>
  <c r="B53" i="3"/>
  <c r="D53" i="3"/>
  <c r="C54" i="3"/>
  <c r="B54" i="3"/>
  <c r="D54" i="3"/>
  <c r="C55" i="3"/>
  <c r="B55" i="3"/>
  <c r="D55" i="3"/>
  <c r="C56" i="3"/>
  <c r="B56" i="3"/>
  <c r="D56" i="3"/>
  <c r="C57" i="3"/>
  <c r="B57" i="3"/>
  <c r="D57" i="3"/>
  <c r="C58" i="3"/>
  <c r="B58" i="3"/>
  <c r="D58" i="3"/>
  <c r="C59" i="3"/>
  <c r="B59" i="3"/>
  <c r="D59" i="3"/>
  <c r="C60" i="3"/>
  <c r="B60" i="3"/>
  <c r="D60" i="3"/>
  <c r="C61" i="3"/>
  <c r="B61" i="3"/>
  <c r="D61" i="3"/>
  <c r="C62" i="3"/>
  <c r="B62" i="3"/>
  <c r="D62" i="3"/>
  <c r="C63" i="3"/>
  <c r="B63" i="3"/>
  <c r="D63" i="3"/>
  <c r="C64" i="3"/>
  <c r="B64" i="3"/>
  <c r="D64" i="3"/>
  <c r="C65" i="3"/>
  <c r="B65" i="3"/>
  <c r="D65" i="3"/>
  <c r="C66" i="3"/>
  <c r="B66" i="3"/>
  <c r="D66" i="3"/>
  <c r="C67" i="3"/>
  <c r="B67" i="3"/>
  <c r="D67" i="3"/>
  <c r="C68" i="3"/>
  <c r="B68" i="3"/>
  <c r="D68" i="3"/>
  <c r="C69" i="3"/>
  <c r="B69" i="3"/>
  <c r="D69" i="3"/>
  <c r="C70" i="3"/>
  <c r="B70" i="3"/>
  <c r="D70" i="3"/>
  <c r="C71" i="3"/>
  <c r="B71" i="3"/>
  <c r="D71" i="3"/>
  <c r="C72" i="3"/>
  <c r="B72" i="3"/>
  <c r="D72" i="3"/>
  <c r="C73" i="3"/>
  <c r="B73" i="3"/>
  <c r="D73" i="3"/>
  <c r="C74" i="3"/>
  <c r="B74" i="3"/>
  <c r="D74" i="3"/>
  <c r="C75" i="3"/>
  <c r="B75" i="3"/>
  <c r="D75" i="3"/>
  <c r="C76" i="3"/>
  <c r="B76" i="3"/>
  <c r="D76" i="3"/>
  <c r="C77" i="3"/>
  <c r="B77" i="3"/>
  <c r="D77" i="3"/>
  <c r="C78" i="3"/>
  <c r="B78" i="3"/>
  <c r="D78" i="3"/>
  <c r="C79" i="3"/>
  <c r="B79" i="3"/>
  <c r="D79" i="3"/>
  <c r="C80" i="3"/>
  <c r="B80" i="3"/>
  <c r="D80" i="3"/>
  <c r="C81" i="3"/>
  <c r="B81" i="3"/>
  <c r="D81" i="3"/>
  <c r="C82" i="3"/>
  <c r="B82" i="3"/>
  <c r="D82" i="3"/>
  <c r="C83" i="3"/>
  <c r="B83" i="3"/>
  <c r="D83" i="3"/>
  <c r="C84" i="3"/>
  <c r="B84" i="3"/>
  <c r="D84" i="3"/>
  <c r="C85" i="3"/>
  <c r="B85" i="3"/>
  <c r="D85" i="3"/>
  <c r="C86" i="3"/>
  <c r="B86" i="3"/>
  <c r="D86" i="3"/>
  <c r="C87" i="3"/>
  <c r="B87" i="3"/>
  <c r="D87" i="3"/>
  <c r="C88" i="3"/>
  <c r="B88" i="3"/>
  <c r="D88" i="3"/>
  <c r="C89" i="3"/>
  <c r="B89" i="3"/>
  <c r="D89" i="3"/>
  <c r="C90" i="3"/>
  <c r="B90" i="3"/>
  <c r="D90" i="3"/>
  <c r="C91" i="3"/>
  <c r="B91" i="3"/>
  <c r="D91" i="3"/>
  <c r="C92" i="3"/>
  <c r="B92" i="3"/>
  <c r="D92" i="3"/>
  <c r="C93" i="3"/>
  <c r="B93" i="3"/>
  <c r="D93" i="3"/>
  <c r="C94" i="3"/>
  <c r="B94" i="3"/>
  <c r="D94" i="3"/>
  <c r="C95" i="3"/>
  <c r="B95" i="3"/>
  <c r="D95" i="3"/>
  <c r="C96" i="3"/>
  <c r="B96" i="3"/>
  <c r="D96" i="3"/>
  <c r="C97" i="3"/>
  <c r="B97" i="3"/>
  <c r="D97" i="3"/>
  <c r="C98" i="3"/>
  <c r="B98" i="3"/>
  <c r="D98" i="3"/>
  <c r="C99" i="3"/>
  <c r="B99" i="3"/>
  <c r="D99" i="3"/>
  <c r="C100" i="3"/>
  <c r="B100" i="3"/>
  <c r="D100" i="3"/>
  <c r="C101" i="3"/>
  <c r="B101" i="3"/>
  <c r="D101" i="3"/>
  <c r="C102" i="3"/>
  <c r="B102" i="3"/>
  <c r="D102" i="3"/>
  <c r="C103" i="3"/>
  <c r="B103" i="3"/>
  <c r="D103" i="3"/>
  <c r="C104" i="3"/>
  <c r="B104" i="3"/>
  <c r="D104" i="3"/>
  <c r="C105" i="3"/>
  <c r="B105" i="3"/>
  <c r="D105" i="3"/>
  <c r="C106" i="3"/>
  <c r="B106" i="3"/>
  <c r="D106" i="3"/>
  <c r="C107" i="3"/>
  <c r="B107" i="3"/>
  <c r="D107" i="3"/>
  <c r="C108" i="3"/>
  <c r="B108" i="3"/>
  <c r="D108" i="3"/>
  <c r="C109" i="3"/>
  <c r="B109" i="3"/>
  <c r="D109" i="3"/>
  <c r="C110" i="3"/>
  <c r="B110" i="3"/>
  <c r="D110" i="3"/>
  <c r="C111" i="3"/>
  <c r="B111" i="3"/>
  <c r="D111" i="3"/>
  <c r="C112" i="3"/>
  <c r="B112" i="3"/>
  <c r="D112" i="3"/>
  <c r="C113" i="3"/>
  <c r="B113" i="3"/>
  <c r="D113" i="3"/>
  <c r="C114" i="3"/>
  <c r="B114" i="3"/>
  <c r="D114" i="3"/>
  <c r="C115" i="3"/>
  <c r="B115" i="3"/>
  <c r="D115" i="3"/>
  <c r="C116" i="3"/>
  <c r="B116" i="3"/>
  <c r="D116" i="3"/>
  <c r="C117" i="3"/>
  <c r="B117" i="3"/>
  <c r="D117" i="3"/>
  <c r="C118" i="3"/>
  <c r="B118" i="3"/>
  <c r="D118" i="3"/>
  <c r="C119" i="3"/>
  <c r="B119" i="3"/>
  <c r="D119" i="3"/>
  <c r="C120" i="3"/>
  <c r="B120" i="3"/>
  <c r="D120" i="3"/>
  <c r="C121" i="3"/>
  <c r="B121" i="3"/>
  <c r="D121" i="3"/>
  <c r="C122" i="3"/>
  <c r="B122" i="3"/>
  <c r="D122" i="3"/>
  <c r="C123" i="3"/>
  <c r="B123" i="3"/>
  <c r="D123" i="3"/>
  <c r="C124" i="3"/>
  <c r="B124" i="3"/>
  <c r="D124" i="3"/>
  <c r="C125" i="3"/>
  <c r="B125" i="3"/>
  <c r="D125" i="3"/>
  <c r="C126" i="3"/>
  <c r="B126" i="3"/>
  <c r="D126" i="3"/>
  <c r="C127" i="3"/>
  <c r="B127" i="3"/>
  <c r="D127" i="3"/>
  <c r="C128" i="3"/>
  <c r="B128" i="3"/>
  <c r="D128" i="3"/>
  <c r="C129" i="3"/>
  <c r="B129" i="3"/>
  <c r="D129" i="3"/>
  <c r="C130" i="3"/>
  <c r="B130" i="3"/>
  <c r="D130" i="3"/>
  <c r="C131" i="3"/>
  <c r="B131" i="3"/>
  <c r="D131" i="3"/>
  <c r="C132" i="3"/>
  <c r="B132" i="3"/>
  <c r="D132" i="3"/>
  <c r="C133" i="3"/>
  <c r="B133" i="3"/>
  <c r="D133" i="3"/>
  <c r="C134" i="3"/>
  <c r="B134" i="3"/>
  <c r="D134" i="3"/>
  <c r="C135" i="3"/>
  <c r="B135" i="3"/>
  <c r="D135" i="3"/>
  <c r="C136" i="3"/>
  <c r="B136" i="3"/>
  <c r="D136" i="3"/>
  <c r="C137" i="3"/>
  <c r="B137" i="3"/>
  <c r="D137" i="3"/>
  <c r="C138" i="3"/>
  <c r="B138" i="3"/>
  <c r="D138" i="3"/>
  <c r="C139" i="3"/>
  <c r="B139" i="3"/>
  <c r="D139" i="3"/>
  <c r="C140" i="3"/>
  <c r="B140" i="3"/>
  <c r="D140" i="3"/>
  <c r="C141" i="3"/>
  <c r="B141" i="3"/>
  <c r="D141" i="3"/>
  <c r="C142" i="3"/>
  <c r="B142" i="3"/>
  <c r="D142" i="3"/>
  <c r="C143" i="3"/>
  <c r="B143" i="3"/>
  <c r="D143" i="3"/>
  <c r="C144" i="3"/>
  <c r="B144" i="3"/>
  <c r="D144" i="3"/>
  <c r="C145" i="3"/>
  <c r="B145" i="3"/>
  <c r="D145" i="3"/>
  <c r="C146" i="3"/>
  <c r="B146" i="3"/>
  <c r="D146" i="3"/>
  <c r="C147" i="3"/>
  <c r="B147" i="3"/>
  <c r="D147" i="3"/>
  <c r="C148" i="3"/>
  <c r="B148" i="3"/>
  <c r="D148" i="3"/>
  <c r="C149" i="3"/>
  <c r="B149" i="3"/>
  <c r="D149" i="3"/>
  <c r="C150" i="3"/>
  <c r="B150" i="3"/>
  <c r="D150" i="3"/>
  <c r="C151" i="3"/>
  <c r="B151" i="3"/>
  <c r="D151" i="3"/>
  <c r="C152" i="3"/>
  <c r="B152" i="3"/>
  <c r="D152" i="3"/>
  <c r="C153" i="3"/>
  <c r="B153" i="3"/>
  <c r="D153" i="3"/>
  <c r="C154" i="3"/>
  <c r="B154" i="3"/>
  <c r="D154" i="3"/>
  <c r="C155" i="3"/>
  <c r="B155" i="3"/>
  <c r="D155" i="3"/>
  <c r="C156" i="3"/>
  <c r="B156" i="3"/>
  <c r="D156" i="3"/>
  <c r="C157" i="3"/>
  <c r="B157" i="3"/>
  <c r="D157" i="3"/>
  <c r="C158" i="3"/>
  <c r="B158" i="3"/>
  <c r="D158" i="3"/>
  <c r="C159" i="3"/>
  <c r="B159" i="3"/>
  <c r="D159" i="3"/>
  <c r="C160" i="3"/>
  <c r="B160" i="3"/>
  <c r="D160" i="3"/>
  <c r="C161" i="3"/>
  <c r="B161" i="3"/>
  <c r="D161" i="3"/>
  <c r="C162" i="3"/>
  <c r="B162" i="3"/>
  <c r="D162" i="3"/>
  <c r="C163" i="3"/>
  <c r="B163" i="3"/>
  <c r="D163" i="3"/>
  <c r="C164" i="3"/>
  <c r="B164" i="3"/>
  <c r="D164" i="3"/>
  <c r="C165" i="3"/>
  <c r="B165" i="3"/>
  <c r="D165" i="3"/>
  <c r="C166" i="3"/>
  <c r="B166" i="3"/>
  <c r="D166" i="3"/>
  <c r="C167" i="3"/>
  <c r="B167" i="3"/>
  <c r="D167" i="3"/>
  <c r="C168" i="3"/>
  <c r="B168" i="3"/>
  <c r="D168" i="3"/>
  <c r="C169" i="3"/>
  <c r="B169" i="3"/>
  <c r="D169" i="3"/>
  <c r="C170" i="3"/>
  <c r="B170" i="3"/>
  <c r="D170" i="3"/>
  <c r="C171" i="3"/>
  <c r="B171" i="3"/>
  <c r="D171" i="3"/>
  <c r="C172" i="3"/>
  <c r="B172" i="3"/>
  <c r="D172" i="3"/>
  <c r="C173" i="3"/>
  <c r="B173" i="3"/>
  <c r="D173" i="3"/>
  <c r="C174" i="3"/>
  <c r="B174" i="3"/>
  <c r="D174" i="3"/>
  <c r="C175" i="3"/>
  <c r="B175" i="3"/>
  <c r="D175" i="3"/>
  <c r="C176" i="3"/>
  <c r="B176" i="3"/>
  <c r="D176" i="3"/>
  <c r="C177" i="3"/>
  <c r="B177" i="3"/>
  <c r="D177" i="3"/>
  <c r="C178" i="3"/>
  <c r="B178" i="3"/>
  <c r="D178" i="3"/>
  <c r="C179" i="3"/>
  <c r="B179" i="3"/>
  <c r="D179" i="3"/>
  <c r="C180" i="3"/>
  <c r="B180" i="3"/>
  <c r="D180" i="3"/>
  <c r="C181" i="3"/>
  <c r="B181" i="3"/>
  <c r="D181" i="3"/>
  <c r="C182" i="3"/>
  <c r="B182" i="3"/>
  <c r="D182" i="3"/>
  <c r="C183" i="3"/>
  <c r="B183" i="3"/>
  <c r="D183" i="3"/>
  <c r="C184" i="3"/>
  <c r="B184" i="3"/>
  <c r="D184" i="3"/>
  <c r="C185" i="3"/>
  <c r="B185" i="3"/>
  <c r="D185" i="3"/>
  <c r="C186" i="3"/>
  <c r="B186" i="3"/>
  <c r="D186" i="3"/>
  <c r="C187" i="3"/>
  <c r="B187" i="3"/>
  <c r="D187" i="3"/>
  <c r="C188" i="3"/>
  <c r="B188" i="3"/>
  <c r="D188" i="3"/>
  <c r="C189" i="3"/>
  <c r="B189" i="3"/>
  <c r="D189" i="3"/>
  <c r="C190" i="3"/>
  <c r="B190" i="3"/>
  <c r="D190" i="3"/>
  <c r="C191" i="3"/>
  <c r="B191" i="3"/>
  <c r="D191" i="3"/>
  <c r="C192" i="3"/>
  <c r="B192" i="3"/>
  <c r="D192" i="3"/>
  <c r="C193" i="3"/>
  <c r="B193" i="3"/>
  <c r="D193" i="3"/>
  <c r="C194" i="3"/>
  <c r="B194" i="3"/>
  <c r="D194" i="3"/>
  <c r="C195" i="3"/>
  <c r="B195" i="3"/>
  <c r="D195" i="3"/>
  <c r="C196" i="3"/>
  <c r="B196" i="3"/>
  <c r="D196" i="3"/>
  <c r="C197" i="3"/>
  <c r="B197" i="3"/>
  <c r="D197" i="3"/>
  <c r="C198" i="3"/>
  <c r="B198" i="3"/>
  <c r="D198" i="3"/>
  <c r="C199" i="3"/>
  <c r="B199" i="3"/>
  <c r="D199" i="3"/>
  <c r="C200" i="3"/>
  <c r="B200" i="3"/>
  <c r="D200" i="3"/>
  <c r="C201" i="3"/>
  <c r="B201" i="3"/>
  <c r="D201" i="3"/>
  <c r="C202" i="3"/>
  <c r="B202" i="3"/>
  <c r="D202" i="3"/>
  <c r="C203" i="3"/>
  <c r="B203" i="3"/>
  <c r="D203" i="3"/>
  <c r="C204" i="3"/>
  <c r="B204" i="3"/>
  <c r="D204" i="3"/>
  <c r="C205" i="3"/>
  <c r="B205" i="3"/>
  <c r="D205" i="3"/>
  <c r="C206" i="3"/>
  <c r="B206" i="3"/>
  <c r="D206" i="3"/>
  <c r="C207" i="3"/>
  <c r="B207" i="3"/>
  <c r="D207" i="3"/>
  <c r="C208" i="3"/>
  <c r="B208" i="3"/>
  <c r="D208" i="3"/>
  <c r="C209" i="3"/>
  <c r="B209" i="3"/>
  <c r="D209" i="3"/>
  <c r="C210" i="3"/>
  <c r="B210" i="3"/>
  <c r="D210" i="3"/>
  <c r="C211" i="3"/>
  <c r="B211" i="3"/>
  <c r="D211" i="3"/>
  <c r="C212" i="3"/>
  <c r="B212" i="3"/>
  <c r="D212" i="3"/>
  <c r="C213" i="3"/>
  <c r="B213" i="3"/>
  <c r="D213" i="3"/>
  <c r="C214" i="3"/>
  <c r="B214" i="3"/>
  <c r="D214" i="3"/>
  <c r="C215" i="3"/>
  <c r="B215" i="3"/>
  <c r="D215" i="3"/>
  <c r="C216" i="3"/>
  <c r="B216" i="3"/>
  <c r="D216" i="3"/>
  <c r="C217" i="3"/>
  <c r="B217" i="3"/>
  <c r="D217" i="3"/>
  <c r="C218" i="3"/>
  <c r="B218" i="3"/>
  <c r="D218" i="3"/>
  <c r="C219" i="3"/>
  <c r="B219" i="3"/>
  <c r="D219" i="3"/>
  <c r="C220" i="3"/>
  <c r="B220" i="3"/>
  <c r="D220" i="3"/>
  <c r="C221" i="3"/>
  <c r="B221" i="3"/>
  <c r="D221" i="3"/>
  <c r="C222" i="3"/>
  <c r="B222" i="3"/>
  <c r="D222" i="3"/>
  <c r="C223" i="3"/>
  <c r="B223" i="3"/>
  <c r="D223" i="3"/>
  <c r="C224" i="3"/>
  <c r="B224" i="3"/>
  <c r="D224" i="3"/>
  <c r="C225" i="3"/>
  <c r="B225" i="3"/>
  <c r="D225" i="3"/>
  <c r="C226" i="3"/>
  <c r="B226" i="3"/>
  <c r="D226" i="3"/>
  <c r="C227" i="3"/>
  <c r="B227" i="3"/>
  <c r="D227" i="3"/>
  <c r="C228" i="3"/>
  <c r="B228" i="3"/>
  <c r="D228" i="3"/>
  <c r="C229" i="3"/>
  <c r="B229" i="3"/>
  <c r="D229" i="3"/>
  <c r="C230" i="3"/>
  <c r="B230" i="3"/>
  <c r="D230" i="3"/>
  <c r="C231" i="3"/>
  <c r="B231" i="3"/>
  <c r="D231" i="3"/>
  <c r="C232" i="3"/>
  <c r="B232" i="3"/>
  <c r="D232" i="3"/>
  <c r="C233" i="3"/>
  <c r="B233" i="3"/>
  <c r="D233" i="3"/>
  <c r="C234" i="3"/>
  <c r="B234" i="3"/>
  <c r="D234" i="3"/>
  <c r="C235" i="3"/>
  <c r="B235" i="3"/>
  <c r="D235" i="3"/>
  <c r="C236" i="3"/>
  <c r="B236" i="3"/>
  <c r="D236" i="3"/>
  <c r="C237" i="3"/>
  <c r="B237" i="3"/>
  <c r="D237" i="3"/>
  <c r="C238" i="3"/>
  <c r="B238" i="3"/>
  <c r="D238" i="3"/>
  <c r="C239" i="3"/>
  <c r="B239" i="3"/>
  <c r="D239" i="3"/>
  <c r="C240" i="3"/>
  <c r="B240" i="3"/>
  <c r="D240" i="3"/>
  <c r="C241" i="3"/>
  <c r="B241" i="3"/>
  <c r="D241" i="3"/>
  <c r="C242" i="3"/>
  <c r="B242" i="3"/>
  <c r="D242" i="3"/>
  <c r="C243" i="3"/>
  <c r="B243" i="3"/>
  <c r="D243" i="3"/>
  <c r="C244" i="3"/>
  <c r="B244" i="3"/>
  <c r="D244" i="3"/>
  <c r="C245" i="3"/>
  <c r="B245" i="3"/>
  <c r="D245" i="3"/>
  <c r="C246" i="3"/>
  <c r="B246" i="3"/>
  <c r="D246" i="3"/>
  <c r="C247" i="3"/>
  <c r="B247" i="3"/>
  <c r="D247" i="3"/>
  <c r="C248" i="3"/>
  <c r="B248" i="3"/>
  <c r="D248" i="3"/>
  <c r="C249" i="3"/>
  <c r="B249" i="3"/>
  <c r="D249" i="3"/>
  <c r="C250" i="3"/>
  <c r="B250" i="3"/>
  <c r="D250" i="3"/>
  <c r="C251" i="3"/>
  <c r="B251" i="3"/>
  <c r="D251" i="3"/>
  <c r="C252" i="3"/>
  <c r="B252" i="3"/>
  <c r="D252" i="3"/>
  <c r="C253" i="3"/>
  <c r="B253" i="3"/>
  <c r="D253" i="3"/>
  <c r="C254" i="3"/>
  <c r="B254" i="3"/>
  <c r="D254" i="3"/>
  <c r="C255" i="3"/>
  <c r="B255" i="3"/>
  <c r="D255" i="3"/>
  <c r="C256" i="3"/>
  <c r="B256" i="3"/>
  <c r="D256" i="3"/>
  <c r="C257" i="3"/>
  <c r="B257" i="3"/>
  <c r="D257" i="3"/>
  <c r="C258" i="3"/>
  <c r="B258" i="3"/>
  <c r="D258" i="3"/>
  <c r="C259" i="3"/>
  <c r="B259" i="3"/>
  <c r="D259" i="3"/>
  <c r="C260" i="3"/>
  <c r="B260" i="3"/>
  <c r="D260" i="3"/>
  <c r="C261" i="3"/>
  <c r="B261" i="3"/>
  <c r="D261" i="3"/>
  <c r="C262" i="3"/>
  <c r="B262" i="3"/>
  <c r="D262" i="3"/>
  <c r="C263" i="3"/>
  <c r="B263" i="3"/>
  <c r="D263" i="3"/>
  <c r="C264" i="3"/>
  <c r="B264" i="3"/>
  <c r="D264" i="3"/>
  <c r="C265" i="3"/>
  <c r="B265" i="3"/>
  <c r="D265" i="3"/>
  <c r="C266" i="3"/>
  <c r="B266" i="3"/>
  <c r="D266" i="3"/>
  <c r="C267" i="3"/>
  <c r="B267" i="3"/>
  <c r="D267" i="3"/>
  <c r="C268" i="3"/>
  <c r="B268" i="3"/>
  <c r="D268" i="3"/>
  <c r="C269" i="3"/>
  <c r="B269" i="3"/>
  <c r="D269" i="3"/>
  <c r="C270" i="3"/>
  <c r="B270" i="3"/>
  <c r="D270" i="3"/>
  <c r="C271" i="3"/>
  <c r="B271" i="3"/>
  <c r="D271" i="3"/>
  <c r="C272" i="3"/>
  <c r="B272" i="3"/>
  <c r="D272" i="3"/>
  <c r="C273" i="3"/>
  <c r="B273" i="3"/>
  <c r="D273" i="3"/>
  <c r="C274" i="3"/>
  <c r="B274" i="3"/>
  <c r="D274" i="3"/>
  <c r="C275" i="3"/>
  <c r="B275" i="3"/>
  <c r="D275" i="3"/>
  <c r="C276" i="3"/>
  <c r="B276" i="3"/>
  <c r="D276" i="3"/>
  <c r="C277" i="3"/>
  <c r="B277" i="3"/>
  <c r="D277" i="3"/>
  <c r="C278" i="3"/>
  <c r="B278" i="3"/>
  <c r="D278" i="3"/>
  <c r="C279" i="3"/>
  <c r="B279" i="3"/>
  <c r="D279" i="3"/>
  <c r="C280" i="3"/>
  <c r="B280" i="3"/>
  <c r="D280" i="3"/>
  <c r="C281" i="3"/>
  <c r="B281" i="3"/>
  <c r="D281" i="3"/>
  <c r="C282" i="3"/>
  <c r="B282" i="3"/>
  <c r="D282" i="3"/>
  <c r="C283" i="3"/>
  <c r="B283" i="3"/>
  <c r="D283" i="3"/>
  <c r="C284" i="3"/>
  <c r="B284" i="3"/>
  <c r="D284" i="3"/>
  <c r="C285" i="3"/>
  <c r="B285" i="3"/>
  <c r="D285" i="3"/>
  <c r="C286" i="3"/>
  <c r="B286" i="3"/>
  <c r="D286" i="3"/>
  <c r="C287" i="3"/>
  <c r="B287" i="3"/>
  <c r="D287" i="3"/>
  <c r="C288" i="3"/>
  <c r="B288" i="3"/>
  <c r="D288" i="3"/>
  <c r="C289" i="3"/>
  <c r="B289" i="3"/>
  <c r="D289" i="3"/>
  <c r="C290" i="3"/>
  <c r="B290" i="3"/>
  <c r="D290" i="3"/>
  <c r="C291" i="3"/>
  <c r="B291" i="3"/>
  <c r="D291" i="3"/>
  <c r="C292" i="3"/>
  <c r="B292" i="3"/>
  <c r="D292" i="3"/>
  <c r="C293" i="3"/>
  <c r="B293" i="3"/>
  <c r="D293" i="3"/>
  <c r="C294" i="3"/>
  <c r="B294" i="3"/>
  <c r="D294" i="3"/>
  <c r="C295" i="3"/>
  <c r="B295" i="3"/>
  <c r="D295" i="3"/>
  <c r="C296" i="3"/>
  <c r="B296" i="3"/>
  <c r="D296" i="3"/>
  <c r="C297" i="3"/>
  <c r="B297" i="3"/>
  <c r="D297" i="3"/>
  <c r="C298" i="3"/>
  <c r="B298" i="3"/>
  <c r="D298" i="3"/>
  <c r="C299" i="3"/>
  <c r="B299" i="3"/>
  <c r="D299" i="3"/>
  <c r="C300" i="3"/>
  <c r="B300" i="3"/>
  <c r="D300" i="3"/>
  <c r="C301" i="3"/>
  <c r="B301" i="3"/>
  <c r="D301" i="3"/>
  <c r="C302" i="3"/>
  <c r="B302" i="3"/>
  <c r="D302" i="3"/>
  <c r="C303" i="3"/>
  <c r="B303" i="3"/>
  <c r="D303" i="3"/>
  <c r="C304" i="3"/>
  <c r="B304" i="3"/>
  <c r="D304" i="3"/>
  <c r="C305" i="3"/>
  <c r="B305" i="3"/>
  <c r="D305" i="3"/>
  <c r="C306" i="3"/>
  <c r="B306" i="3"/>
  <c r="D306" i="3"/>
  <c r="C307" i="3"/>
  <c r="B307" i="3"/>
  <c r="D307" i="3"/>
  <c r="C308" i="3"/>
  <c r="B308" i="3"/>
  <c r="D308" i="3"/>
  <c r="C309" i="3"/>
  <c r="B309" i="3"/>
  <c r="D309" i="3"/>
  <c r="C310" i="3"/>
  <c r="B310" i="3"/>
  <c r="D310" i="3"/>
  <c r="C311" i="3"/>
  <c r="B311" i="3"/>
  <c r="D311" i="3"/>
  <c r="C312" i="3"/>
  <c r="B312" i="3"/>
  <c r="D312" i="3"/>
  <c r="C313" i="3"/>
  <c r="B313" i="3"/>
  <c r="D313" i="3"/>
  <c r="C314" i="3"/>
  <c r="B314" i="3"/>
  <c r="D314" i="3"/>
  <c r="C315" i="3"/>
  <c r="B315" i="3"/>
  <c r="D315" i="3"/>
  <c r="C316" i="3"/>
  <c r="B316" i="3"/>
  <c r="D316" i="3"/>
  <c r="C317" i="3"/>
  <c r="B317" i="3"/>
  <c r="D317" i="3"/>
  <c r="C318" i="3"/>
  <c r="B318" i="3"/>
  <c r="D318" i="3"/>
  <c r="C319" i="3"/>
  <c r="B319" i="3"/>
  <c r="D319" i="3"/>
  <c r="C320" i="3"/>
  <c r="B320" i="3"/>
  <c r="D320" i="3"/>
  <c r="C321" i="3"/>
  <c r="B321" i="3"/>
  <c r="D321" i="3"/>
  <c r="C322" i="3"/>
  <c r="B322" i="3"/>
  <c r="D322" i="3"/>
  <c r="C323" i="3"/>
  <c r="B323" i="3"/>
  <c r="D323" i="3"/>
  <c r="C324" i="3"/>
  <c r="B324" i="3"/>
  <c r="D324" i="3"/>
  <c r="C325" i="3"/>
  <c r="B325" i="3"/>
  <c r="D325" i="3"/>
  <c r="C326" i="3"/>
  <c r="B326" i="3"/>
  <c r="D326" i="3"/>
  <c r="C327" i="3"/>
  <c r="B327" i="3"/>
  <c r="D327" i="3"/>
  <c r="C328" i="3"/>
  <c r="B328" i="3"/>
  <c r="D328" i="3"/>
  <c r="C329" i="3"/>
  <c r="B329" i="3"/>
  <c r="D329" i="3"/>
  <c r="C330" i="3"/>
  <c r="B330" i="3"/>
  <c r="D330" i="3"/>
  <c r="C331" i="3"/>
  <c r="B331" i="3"/>
  <c r="D331" i="3"/>
  <c r="C332" i="3"/>
  <c r="B332" i="3"/>
  <c r="D332" i="3"/>
  <c r="C333" i="3"/>
  <c r="B333" i="3"/>
  <c r="D333" i="3"/>
  <c r="C334" i="3"/>
  <c r="B334" i="3"/>
  <c r="D334" i="3"/>
  <c r="C335" i="3"/>
  <c r="B335" i="3"/>
  <c r="D335" i="3"/>
  <c r="C336" i="3"/>
  <c r="B336" i="3"/>
  <c r="D336" i="3"/>
  <c r="C337" i="3"/>
  <c r="B337" i="3"/>
  <c r="D337" i="3"/>
  <c r="C338" i="3"/>
  <c r="B338" i="3"/>
  <c r="D338" i="3"/>
  <c r="C339" i="3"/>
  <c r="B339" i="3"/>
  <c r="D339" i="3"/>
  <c r="C340" i="3"/>
  <c r="B340" i="3"/>
  <c r="D340" i="3"/>
  <c r="C341" i="3"/>
  <c r="B341" i="3"/>
  <c r="D341" i="3"/>
  <c r="C342" i="3"/>
  <c r="B342" i="3"/>
  <c r="D342" i="3"/>
  <c r="C343" i="3"/>
  <c r="B343" i="3"/>
  <c r="D343" i="3"/>
  <c r="C344" i="3"/>
  <c r="B344" i="3"/>
  <c r="D344" i="3"/>
  <c r="C345" i="3"/>
  <c r="B345" i="3"/>
  <c r="D345" i="3"/>
  <c r="C346" i="3"/>
  <c r="B346" i="3"/>
  <c r="D346" i="3"/>
  <c r="C347" i="3"/>
  <c r="B347" i="3"/>
  <c r="D347" i="3"/>
  <c r="C348" i="3"/>
  <c r="B348" i="3"/>
  <c r="D348" i="3"/>
  <c r="C349" i="3"/>
  <c r="B349" i="3"/>
  <c r="D349" i="3"/>
  <c r="C350" i="3"/>
  <c r="B350" i="3"/>
  <c r="D350" i="3"/>
  <c r="C351" i="3"/>
  <c r="B351" i="3"/>
  <c r="D351" i="3"/>
  <c r="C352" i="3"/>
  <c r="B352" i="3"/>
  <c r="D352" i="3"/>
  <c r="C353" i="3"/>
  <c r="B353" i="3"/>
  <c r="D353" i="3"/>
  <c r="C354" i="3"/>
  <c r="B354" i="3"/>
  <c r="D354" i="3"/>
  <c r="C355" i="3"/>
  <c r="B355" i="3"/>
  <c r="D355" i="3"/>
  <c r="C356" i="3"/>
  <c r="B356" i="3"/>
  <c r="D356" i="3"/>
  <c r="C357" i="3"/>
  <c r="B357" i="3"/>
  <c r="D357" i="3"/>
  <c r="C358" i="3"/>
  <c r="B358" i="3"/>
  <c r="D358" i="3"/>
  <c r="C359" i="3"/>
  <c r="B359" i="3"/>
  <c r="D359" i="3"/>
  <c r="C360" i="3"/>
  <c r="B360" i="3"/>
  <c r="D360" i="3"/>
  <c r="C361" i="3"/>
  <c r="B361" i="3"/>
  <c r="D361" i="3"/>
  <c r="C362" i="3"/>
  <c r="B362" i="3"/>
  <c r="D362" i="3"/>
  <c r="C363" i="3"/>
  <c r="B363" i="3"/>
  <c r="D363" i="3"/>
  <c r="C364" i="3"/>
  <c r="B364" i="3"/>
  <c r="D364" i="3"/>
  <c r="C365" i="3"/>
  <c r="B365" i="3"/>
  <c r="D365" i="3"/>
  <c r="C366" i="3"/>
  <c r="B366" i="3"/>
  <c r="D366" i="3"/>
  <c r="C367" i="3"/>
  <c r="B367" i="3"/>
  <c r="D367" i="3"/>
  <c r="C368" i="3"/>
  <c r="B368" i="3"/>
  <c r="D368" i="3"/>
  <c r="C369" i="3"/>
  <c r="B369" i="3"/>
  <c r="D369" i="3"/>
  <c r="C370" i="3"/>
  <c r="B370" i="3"/>
  <c r="D370" i="3"/>
  <c r="C371" i="3"/>
  <c r="B371" i="3"/>
  <c r="D371" i="3"/>
  <c r="C372" i="3"/>
  <c r="B372" i="3"/>
  <c r="D372" i="3"/>
  <c r="C373" i="3"/>
  <c r="B373" i="3"/>
  <c r="D373" i="3"/>
  <c r="C374" i="3"/>
  <c r="B374" i="3"/>
  <c r="D374" i="3"/>
  <c r="C375" i="3"/>
  <c r="B375" i="3"/>
  <c r="D375" i="3"/>
  <c r="C376" i="3"/>
  <c r="B376" i="3"/>
  <c r="D376" i="3"/>
  <c r="C377" i="3"/>
  <c r="B377" i="3"/>
  <c r="D377" i="3"/>
  <c r="C378" i="3"/>
  <c r="B378" i="3"/>
  <c r="D378" i="3"/>
  <c r="C379" i="3"/>
  <c r="B379" i="3"/>
  <c r="D379" i="3"/>
  <c r="C380" i="3"/>
  <c r="B380" i="3"/>
  <c r="D380" i="3"/>
  <c r="C381" i="3"/>
  <c r="B381" i="3"/>
  <c r="D381" i="3"/>
  <c r="C382" i="3"/>
  <c r="B382" i="3"/>
  <c r="D382" i="3"/>
  <c r="C383" i="3"/>
  <c r="B383" i="3"/>
  <c r="D383" i="3"/>
  <c r="C384" i="3"/>
  <c r="B384" i="3"/>
  <c r="D384" i="3"/>
  <c r="C385" i="3"/>
  <c r="B385" i="3"/>
  <c r="D385" i="3"/>
  <c r="C386" i="3"/>
  <c r="B386" i="3"/>
  <c r="D386" i="3"/>
  <c r="C387" i="3"/>
  <c r="B387" i="3"/>
  <c r="D387" i="3"/>
  <c r="C388" i="3"/>
  <c r="B388" i="3"/>
  <c r="D388" i="3"/>
  <c r="C389" i="3"/>
  <c r="B389" i="3"/>
  <c r="D389" i="3"/>
  <c r="C390" i="3"/>
  <c r="B390" i="3"/>
  <c r="D390" i="3"/>
  <c r="C391" i="3"/>
  <c r="B391" i="3"/>
  <c r="D391" i="3"/>
  <c r="C392" i="3"/>
  <c r="B392" i="3"/>
  <c r="D392" i="3"/>
  <c r="C393" i="3"/>
  <c r="B393" i="3"/>
  <c r="D393" i="3"/>
  <c r="C394" i="3"/>
  <c r="B394" i="3"/>
  <c r="D394" i="3"/>
  <c r="C395" i="3"/>
  <c r="B395" i="3"/>
  <c r="D395" i="3"/>
  <c r="C396" i="3"/>
  <c r="B396" i="3"/>
  <c r="D396" i="3"/>
  <c r="C397" i="3"/>
  <c r="B397" i="3"/>
  <c r="D397" i="3"/>
  <c r="C398" i="3"/>
  <c r="B398" i="3"/>
  <c r="D398" i="3"/>
  <c r="C399" i="3"/>
  <c r="B399" i="3"/>
  <c r="D399" i="3"/>
  <c r="C400" i="3"/>
  <c r="B400" i="3"/>
  <c r="D400" i="3"/>
  <c r="C401" i="3"/>
  <c r="B401" i="3"/>
  <c r="D401" i="3"/>
  <c r="C402" i="3"/>
  <c r="B402" i="3"/>
  <c r="D402" i="3"/>
  <c r="C403" i="3"/>
  <c r="B403" i="3"/>
  <c r="D403" i="3"/>
  <c r="C404" i="3"/>
  <c r="B404" i="3"/>
  <c r="D404" i="3"/>
  <c r="C405" i="3"/>
  <c r="B405" i="3"/>
  <c r="D405" i="3"/>
  <c r="C406" i="3"/>
  <c r="B406" i="3"/>
  <c r="D406" i="3"/>
  <c r="C407" i="3"/>
  <c r="B407" i="3"/>
  <c r="D407" i="3"/>
  <c r="C408" i="3"/>
  <c r="B408" i="3"/>
  <c r="D408" i="3"/>
  <c r="C409" i="3"/>
  <c r="B409" i="3"/>
  <c r="D409" i="3"/>
  <c r="C410" i="3"/>
  <c r="B410" i="3"/>
  <c r="D410" i="3"/>
  <c r="C411" i="3"/>
  <c r="B411" i="3"/>
  <c r="D411" i="3"/>
  <c r="C412" i="3"/>
  <c r="B412" i="3"/>
  <c r="D412" i="3"/>
  <c r="C413" i="3"/>
  <c r="B413" i="3"/>
  <c r="D413" i="3"/>
  <c r="C414" i="3"/>
  <c r="B414" i="3"/>
  <c r="D414" i="3"/>
  <c r="C415" i="3"/>
  <c r="B415" i="3"/>
  <c r="D415" i="3"/>
  <c r="C416" i="3"/>
  <c r="B416" i="3"/>
  <c r="D416" i="3"/>
  <c r="C417" i="3"/>
  <c r="B417" i="3"/>
  <c r="D417" i="3"/>
  <c r="C418" i="3"/>
  <c r="B418" i="3"/>
  <c r="D418" i="3"/>
  <c r="C419" i="3"/>
  <c r="B419" i="3"/>
  <c r="D419" i="3"/>
  <c r="C420" i="3"/>
  <c r="B420" i="3"/>
  <c r="D420" i="3"/>
  <c r="C421" i="3"/>
  <c r="B421" i="3"/>
  <c r="D421" i="3"/>
  <c r="C422" i="3"/>
  <c r="B422" i="3"/>
  <c r="D422" i="3"/>
  <c r="C423" i="3"/>
  <c r="B423" i="3"/>
  <c r="D423" i="3"/>
  <c r="C424" i="3"/>
  <c r="B424" i="3"/>
  <c r="D424" i="3"/>
  <c r="C425" i="3"/>
  <c r="B425" i="3"/>
  <c r="D425" i="3"/>
  <c r="C426" i="3"/>
  <c r="B426" i="3"/>
  <c r="D426" i="3"/>
  <c r="C427" i="3"/>
  <c r="B427" i="3"/>
  <c r="D427" i="3"/>
  <c r="C428" i="3"/>
  <c r="B428" i="3"/>
  <c r="D428" i="3"/>
  <c r="C429" i="3"/>
  <c r="B429" i="3"/>
  <c r="D429" i="3"/>
  <c r="C430" i="3"/>
  <c r="B430" i="3"/>
  <c r="D430" i="3"/>
  <c r="C431" i="3"/>
  <c r="B431" i="3"/>
  <c r="D431" i="3"/>
  <c r="C432" i="3"/>
  <c r="B432" i="3"/>
  <c r="D432" i="3"/>
  <c r="C433" i="3"/>
  <c r="B433" i="3"/>
  <c r="D433" i="3"/>
  <c r="C434" i="3"/>
  <c r="B434" i="3"/>
  <c r="D434" i="3"/>
  <c r="C435" i="3"/>
  <c r="B435" i="3"/>
  <c r="D435" i="3"/>
  <c r="C436" i="3"/>
  <c r="B436" i="3"/>
  <c r="D436" i="3"/>
  <c r="C437" i="3"/>
  <c r="B437" i="3"/>
  <c r="D437" i="3"/>
  <c r="C438" i="3"/>
  <c r="B438" i="3"/>
  <c r="D438" i="3"/>
  <c r="C439" i="3"/>
  <c r="B439" i="3"/>
  <c r="D439" i="3"/>
  <c r="C440" i="3"/>
  <c r="B440" i="3"/>
  <c r="D440" i="3"/>
  <c r="C441" i="3"/>
  <c r="B441" i="3"/>
  <c r="D441" i="3"/>
  <c r="C442" i="3"/>
  <c r="B442" i="3"/>
  <c r="D442" i="3"/>
  <c r="C443" i="3"/>
  <c r="B443" i="3"/>
  <c r="D443" i="3"/>
  <c r="C444" i="3"/>
  <c r="B444" i="3"/>
  <c r="D444" i="3"/>
  <c r="C445" i="3"/>
  <c r="B445" i="3"/>
  <c r="D445" i="3"/>
  <c r="C446" i="3"/>
  <c r="B446" i="3"/>
  <c r="D446" i="3"/>
  <c r="C447" i="3"/>
  <c r="B447" i="3"/>
  <c r="D447" i="3"/>
  <c r="C448" i="3"/>
  <c r="B448" i="3"/>
  <c r="D448" i="3"/>
  <c r="C449" i="3"/>
  <c r="B449" i="3"/>
  <c r="D449" i="3"/>
  <c r="C450" i="3"/>
  <c r="B450" i="3"/>
  <c r="D450" i="3"/>
  <c r="C451" i="3"/>
  <c r="B451" i="3"/>
  <c r="D451" i="3"/>
  <c r="C452" i="3"/>
  <c r="B452" i="3"/>
  <c r="D452" i="3"/>
  <c r="C453" i="3"/>
  <c r="B453" i="3"/>
  <c r="D453" i="3"/>
  <c r="C454" i="3"/>
  <c r="B454" i="3"/>
  <c r="D454" i="3"/>
  <c r="C455" i="3"/>
  <c r="B455" i="3"/>
  <c r="D455" i="3"/>
  <c r="C456" i="3"/>
  <c r="B456" i="3"/>
  <c r="D456" i="3"/>
  <c r="C457" i="3"/>
  <c r="B457" i="3"/>
  <c r="D457" i="3"/>
  <c r="C458" i="3"/>
  <c r="B458" i="3"/>
  <c r="D458" i="3"/>
  <c r="C459" i="3"/>
  <c r="B459" i="3"/>
  <c r="D459" i="3"/>
  <c r="C460" i="3"/>
  <c r="B460" i="3"/>
  <c r="D460" i="3"/>
  <c r="C461" i="3"/>
  <c r="B461" i="3"/>
  <c r="D461" i="3"/>
  <c r="C462" i="3"/>
  <c r="B462" i="3"/>
  <c r="D462" i="3"/>
  <c r="C463" i="3"/>
  <c r="B463" i="3"/>
  <c r="D463" i="3"/>
  <c r="C464" i="3"/>
  <c r="B464" i="3"/>
  <c r="D464" i="3"/>
  <c r="C465" i="3"/>
  <c r="B465" i="3"/>
  <c r="D465" i="3"/>
  <c r="C466" i="3"/>
  <c r="B466" i="3"/>
  <c r="D466" i="3"/>
  <c r="C467" i="3"/>
  <c r="B467" i="3"/>
  <c r="D467" i="3"/>
  <c r="C468" i="3"/>
  <c r="B468" i="3"/>
  <c r="D468" i="3"/>
  <c r="C469" i="3"/>
  <c r="B469" i="3"/>
  <c r="D469" i="3"/>
  <c r="C470" i="3"/>
  <c r="B470" i="3"/>
  <c r="D470" i="3"/>
  <c r="C471" i="3"/>
  <c r="B471" i="3"/>
  <c r="D471" i="3"/>
  <c r="C472" i="3"/>
  <c r="B472" i="3"/>
  <c r="D472" i="3"/>
  <c r="C473" i="3"/>
  <c r="B473" i="3"/>
  <c r="D473" i="3"/>
  <c r="C474" i="3"/>
  <c r="B474" i="3"/>
  <c r="D474" i="3"/>
  <c r="C475" i="3"/>
  <c r="B475" i="3"/>
  <c r="D475" i="3"/>
  <c r="C476" i="3"/>
  <c r="B476" i="3"/>
  <c r="D476" i="3"/>
  <c r="C477" i="3"/>
  <c r="B477" i="3"/>
  <c r="D477" i="3"/>
  <c r="C478" i="3"/>
  <c r="B478" i="3"/>
  <c r="D478" i="3"/>
  <c r="C479" i="3"/>
  <c r="B479" i="3"/>
  <c r="D479" i="3"/>
  <c r="C480" i="3"/>
  <c r="B480" i="3"/>
  <c r="D480" i="3"/>
  <c r="C481" i="3"/>
  <c r="B481" i="3"/>
  <c r="D481" i="3"/>
  <c r="C482" i="3"/>
  <c r="B482" i="3"/>
  <c r="D482" i="3"/>
  <c r="C483" i="3"/>
  <c r="B483" i="3"/>
  <c r="D483" i="3"/>
  <c r="C484" i="3"/>
  <c r="B484" i="3"/>
  <c r="D484" i="3"/>
  <c r="C485" i="3"/>
  <c r="B485" i="3"/>
  <c r="D485" i="3"/>
  <c r="C486" i="3"/>
  <c r="B486" i="3"/>
  <c r="D486" i="3"/>
  <c r="C487" i="3"/>
  <c r="B487" i="3"/>
  <c r="D487" i="3"/>
  <c r="C488" i="3"/>
  <c r="B488" i="3"/>
  <c r="D488" i="3"/>
  <c r="C489" i="3"/>
  <c r="B489" i="3"/>
  <c r="D489" i="3"/>
  <c r="C490" i="3"/>
  <c r="B490" i="3"/>
  <c r="D490" i="3"/>
  <c r="C491" i="3"/>
  <c r="B491" i="3"/>
  <c r="D491" i="3"/>
  <c r="C492" i="3"/>
  <c r="B492" i="3"/>
  <c r="D492" i="3"/>
  <c r="C493" i="3"/>
  <c r="B493" i="3"/>
  <c r="D493" i="3"/>
  <c r="C494" i="3"/>
  <c r="B494" i="3"/>
  <c r="D494" i="3"/>
  <c r="C495" i="3"/>
  <c r="B495" i="3"/>
  <c r="D495" i="3"/>
  <c r="C496" i="3"/>
  <c r="B496" i="3"/>
  <c r="D496" i="3"/>
  <c r="C497" i="3"/>
  <c r="B497" i="3"/>
  <c r="D497" i="3"/>
  <c r="C498" i="3"/>
  <c r="B498" i="3"/>
  <c r="D498" i="3"/>
  <c r="C499" i="3"/>
  <c r="B499" i="3"/>
  <c r="D499" i="3"/>
  <c r="C500" i="3"/>
  <c r="B500" i="3"/>
  <c r="D500" i="3"/>
  <c r="C501" i="3"/>
  <c r="B501" i="3"/>
  <c r="D501" i="3"/>
  <c r="C502" i="3"/>
  <c r="B502" i="3"/>
  <c r="F4" i="1"/>
  <c r="H4" i="1"/>
  <c r="C2" i="4"/>
  <c r="B2" i="4"/>
  <c r="D3" i="1"/>
  <c r="F3" i="1"/>
  <c r="H3" i="1"/>
  <c r="F2" i="1"/>
  <c r="D2" i="1"/>
  <c r="H2" i="1"/>
  <c r="F5" i="1"/>
  <c r="D5" i="1"/>
  <c r="E501" i="3"/>
  <c r="F501" i="3"/>
  <c r="G501" i="3"/>
  <c r="E500" i="3"/>
  <c r="F500" i="3"/>
  <c r="G500" i="3"/>
  <c r="E499" i="3"/>
  <c r="F499" i="3"/>
  <c r="G499" i="3"/>
  <c r="E498" i="3"/>
  <c r="F498" i="3"/>
  <c r="G498" i="3"/>
  <c r="E497" i="3"/>
  <c r="F497" i="3"/>
  <c r="G497" i="3"/>
  <c r="E496" i="3"/>
  <c r="F496" i="3"/>
  <c r="G496" i="3"/>
  <c r="E495" i="3"/>
  <c r="F495" i="3"/>
  <c r="G495" i="3"/>
  <c r="E494" i="3"/>
  <c r="F494" i="3"/>
  <c r="G494" i="3"/>
  <c r="E493" i="3"/>
  <c r="F493" i="3"/>
  <c r="G493" i="3"/>
  <c r="E492" i="3"/>
  <c r="F492" i="3"/>
  <c r="G492" i="3"/>
  <c r="E491" i="3"/>
  <c r="F491" i="3"/>
  <c r="G491" i="3"/>
  <c r="E490" i="3"/>
  <c r="F490" i="3"/>
  <c r="G490" i="3"/>
  <c r="E489" i="3"/>
  <c r="F489" i="3"/>
  <c r="G489" i="3"/>
  <c r="E488" i="3"/>
  <c r="F488" i="3"/>
  <c r="G488" i="3"/>
  <c r="E487" i="3"/>
  <c r="F487" i="3"/>
  <c r="G487" i="3"/>
  <c r="E486" i="3"/>
  <c r="F486" i="3"/>
  <c r="G486" i="3"/>
  <c r="E485" i="3"/>
  <c r="F485" i="3"/>
  <c r="G485" i="3"/>
  <c r="E484" i="3"/>
  <c r="F484" i="3"/>
  <c r="G484" i="3"/>
  <c r="E483" i="3"/>
  <c r="F483" i="3"/>
  <c r="G483" i="3"/>
  <c r="E482" i="3"/>
  <c r="F482" i="3"/>
  <c r="G482" i="3"/>
  <c r="E481" i="3"/>
  <c r="F481" i="3"/>
  <c r="G481" i="3"/>
  <c r="E480" i="3"/>
  <c r="F480" i="3"/>
  <c r="G480" i="3"/>
  <c r="E479" i="3"/>
  <c r="F479" i="3"/>
  <c r="G479" i="3"/>
  <c r="E478" i="3"/>
  <c r="F478" i="3"/>
  <c r="G478" i="3"/>
  <c r="E477" i="3"/>
  <c r="F477" i="3"/>
  <c r="G477" i="3"/>
  <c r="E476" i="3"/>
  <c r="F476" i="3"/>
  <c r="G476" i="3"/>
  <c r="E475" i="3"/>
  <c r="F475" i="3"/>
  <c r="G475" i="3"/>
  <c r="E474" i="3"/>
  <c r="F474" i="3"/>
  <c r="G474" i="3"/>
  <c r="E473" i="3"/>
  <c r="F473" i="3"/>
  <c r="G473" i="3"/>
  <c r="E472" i="3"/>
  <c r="F472" i="3"/>
  <c r="G472" i="3"/>
  <c r="E471" i="3"/>
  <c r="F471" i="3"/>
  <c r="G471" i="3"/>
  <c r="E470" i="3"/>
  <c r="F470" i="3"/>
  <c r="G470" i="3"/>
  <c r="E469" i="3"/>
  <c r="F469" i="3"/>
  <c r="G469" i="3"/>
  <c r="E468" i="3"/>
  <c r="F468" i="3"/>
  <c r="G468" i="3"/>
  <c r="E467" i="3"/>
  <c r="F467" i="3"/>
  <c r="G467" i="3"/>
  <c r="E466" i="3"/>
  <c r="F466" i="3"/>
  <c r="G466" i="3"/>
  <c r="E465" i="3"/>
  <c r="F465" i="3"/>
  <c r="G465" i="3"/>
  <c r="E464" i="3"/>
  <c r="F464" i="3"/>
  <c r="G464" i="3"/>
  <c r="E463" i="3"/>
  <c r="F463" i="3"/>
  <c r="G463" i="3"/>
  <c r="E462" i="3"/>
  <c r="F462" i="3"/>
  <c r="G462" i="3"/>
  <c r="E461" i="3"/>
  <c r="F461" i="3"/>
  <c r="G461" i="3"/>
  <c r="E460" i="3"/>
  <c r="F460" i="3"/>
  <c r="G460" i="3"/>
  <c r="E459" i="3"/>
  <c r="F459" i="3"/>
  <c r="G459" i="3"/>
  <c r="E458" i="3"/>
  <c r="F458" i="3"/>
  <c r="G458" i="3"/>
  <c r="E457" i="3"/>
  <c r="F457" i="3"/>
  <c r="G457" i="3"/>
  <c r="E456" i="3"/>
  <c r="F456" i="3"/>
  <c r="G456" i="3"/>
  <c r="E455" i="3"/>
  <c r="F455" i="3"/>
  <c r="G455" i="3"/>
  <c r="E454" i="3"/>
  <c r="F454" i="3"/>
  <c r="G454" i="3"/>
  <c r="E453" i="3"/>
  <c r="F453" i="3"/>
  <c r="G453" i="3"/>
  <c r="E452" i="3"/>
  <c r="F452" i="3"/>
  <c r="G452" i="3"/>
  <c r="E451" i="3"/>
  <c r="F451" i="3"/>
  <c r="G451" i="3"/>
  <c r="E450" i="3"/>
  <c r="F450" i="3"/>
  <c r="G450" i="3"/>
  <c r="E449" i="3"/>
  <c r="F449" i="3"/>
  <c r="G449" i="3"/>
  <c r="E448" i="3"/>
  <c r="F448" i="3"/>
  <c r="G448" i="3"/>
  <c r="E447" i="3"/>
  <c r="F447" i="3"/>
  <c r="G447" i="3"/>
  <c r="E446" i="3"/>
  <c r="F446" i="3"/>
  <c r="G446" i="3"/>
  <c r="E445" i="3"/>
  <c r="F445" i="3"/>
  <c r="G445" i="3"/>
  <c r="E444" i="3"/>
  <c r="F444" i="3"/>
  <c r="G444" i="3"/>
  <c r="E443" i="3"/>
  <c r="F443" i="3"/>
  <c r="G443" i="3"/>
  <c r="E442" i="3"/>
  <c r="F442" i="3"/>
  <c r="G442" i="3"/>
  <c r="E441" i="3"/>
  <c r="F441" i="3"/>
  <c r="G441" i="3"/>
  <c r="E440" i="3"/>
  <c r="F440" i="3"/>
  <c r="G440" i="3"/>
  <c r="E439" i="3"/>
  <c r="F439" i="3"/>
  <c r="G439" i="3"/>
  <c r="E438" i="3"/>
  <c r="F438" i="3"/>
  <c r="G438" i="3"/>
  <c r="E437" i="3"/>
  <c r="F437" i="3"/>
  <c r="G437" i="3"/>
  <c r="E436" i="3"/>
  <c r="F436" i="3"/>
  <c r="G436" i="3"/>
  <c r="E435" i="3"/>
  <c r="F435" i="3"/>
  <c r="G435" i="3"/>
  <c r="E434" i="3"/>
  <c r="F434" i="3"/>
  <c r="G434" i="3"/>
  <c r="E433" i="3"/>
  <c r="F433" i="3"/>
  <c r="G433" i="3"/>
  <c r="E432" i="3"/>
  <c r="F432" i="3"/>
  <c r="G432" i="3"/>
  <c r="E431" i="3"/>
  <c r="F431" i="3"/>
  <c r="G431" i="3"/>
  <c r="E430" i="3"/>
  <c r="F430" i="3"/>
  <c r="G430" i="3"/>
  <c r="E429" i="3"/>
  <c r="F429" i="3"/>
  <c r="G429" i="3"/>
  <c r="E428" i="3"/>
  <c r="F428" i="3"/>
  <c r="G428" i="3"/>
  <c r="E427" i="3"/>
  <c r="F427" i="3"/>
  <c r="G427" i="3"/>
  <c r="E426" i="3"/>
  <c r="F426" i="3"/>
  <c r="G426" i="3"/>
  <c r="E425" i="3"/>
  <c r="F425" i="3"/>
  <c r="G425" i="3"/>
  <c r="E424" i="3"/>
  <c r="F424" i="3"/>
  <c r="G424" i="3"/>
  <c r="E423" i="3"/>
  <c r="F423" i="3"/>
  <c r="G423" i="3"/>
  <c r="E422" i="3"/>
  <c r="F422" i="3"/>
  <c r="G422" i="3"/>
  <c r="E421" i="3"/>
  <c r="F421" i="3"/>
  <c r="G421" i="3"/>
  <c r="E420" i="3"/>
  <c r="F420" i="3"/>
  <c r="G420" i="3"/>
  <c r="E419" i="3"/>
  <c r="F419" i="3"/>
  <c r="G419" i="3"/>
  <c r="E418" i="3"/>
  <c r="F418" i="3"/>
  <c r="G418" i="3"/>
  <c r="E417" i="3"/>
  <c r="F417" i="3"/>
  <c r="G417" i="3"/>
  <c r="E416" i="3"/>
  <c r="F416" i="3"/>
  <c r="G416" i="3"/>
  <c r="E415" i="3"/>
  <c r="F415" i="3"/>
  <c r="G415" i="3"/>
  <c r="E414" i="3"/>
  <c r="F414" i="3"/>
  <c r="G414" i="3"/>
  <c r="E413" i="3"/>
  <c r="F413" i="3"/>
  <c r="G413" i="3"/>
  <c r="E412" i="3"/>
  <c r="F412" i="3"/>
  <c r="G412" i="3"/>
  <c r="E411" i="3"/>
  <c r="F411" i="3"/>
  <c r="G411" i="3"/>
  <c r="E410" i="3"/>
  <c r="F410" i="3"/>
  <c r="G410" i="3"/>
  <c r="E409" i="3"/>
  <c r="F409" i="3"/>
  <c r="G409" i="3"/>
  <c r="E408" i="3"/>
  <c r="F408" i="3"/>
  <c r="G408" i="3"/>
  <c r="E407" i="3"/>
  <c r="F407" i="3"/>
  <c r="G407" i="3"/>
  <c r="E406" i="3"/>
  <c r="F406" i="3"/>
  <c r="G406" i="3"/>
  <c r="E405" i="3"/>
  <c r="F405" i="3"/>
  <c r="G405" i="3"/>
  <c r="E404" i="3"/>
  <c r="F404" i="3"/>
  <c r="G404" i="3"/>
  <c r="E403" i="3"/>
  <c r="F403" i="3"/>
  <c r="G403" i="3"/>
  <c r="E402" i="3"/>
  <c r="F402" i="3"/>
  <c r="G402" i="3"/>
  <c r="E401" i="3"/>
  <c r="F401" i="3"/>
  <c r="G401" i="3"/>
  <c r="E400" i="3"/>
  <c r="F400" i="3"/>
  <c r="G400" i="3"/>
  <c r="E399" i="3"/>
  <c r="F399" i="3"/>
  <c r="G399" i="3"/>
  <c r="E398" i="3"/>
  <c r="F398" i="3"/>
  <c r="G398" i="3"/>
  <c r="E397" i="3"/>
  <c r="F397" i="3"/>
  <c r="G397" i="3"/>
  <c r="E396" i="3"/>
  <c r="F396" i="3"/>
  <c r="G396" i="3"/>
  <c r="E395" i="3"/>
  <c r="F395" i="3"/>
  <c r="G395" i="3"/>
  <c r="E394" i="3"/>
  <c r="F394" i="3"/>
  <c r="G394" i="3"/>
  <c r="E393" i="3"/>
  <c r="F393" i="3"/>
  <c r="G393" i="3"/>
  <c r="E392" i="3"/>
  <c r="F392" i="3"/>
  <c r="G392" i="3"/>
  <c r="E391" i="3"/>
  <c r="F391" i="3"/>
  <c r="G391" i="3"/>
  <c r="E390" i="3"/>
  <c r="F390" i="3"/>
  <c r="G390" i="3"/>
  <c r="E389" i="3"/>
  <c r="F389" i="3"/>
  <c r="G389" i="3"/>
  <c r="E388" i="3"/>
  <c r="F388" i="3"/>
  <c r="G388" i="3"/>
  <c r="E387" i="3"/>
  <c r="F387" i="3"/>
  <c r="G387" i="3"/>
  <c r="E386" i="3"/>
  <c r="F386" i="3"/>
  <c r="G386" i="3"/>
  <c r="E385" i="3"/>
  <c r="F385" i="3"/>
  <c r="G385" i="3"/>
  <c r="E384" i="3"/>
  <c r="F384" i="3"/>
  <c r="G384" i="3"/>
  <c r="E383" i="3"/>
  <c r="F383" i="3"/>
  <c r="G383" i="3"/>
  <c r="E382" i="3"/>
  <c r="F382" i="3"/>
  <c r="G382" i="3"/>
  <c r="E381" i="3"/>
  <c r="F381" i="3"/>
  <c r="G381" i="3"/>
  <c r="E380" i="3"/>
  <c r="F380" i="3"/>
  <c r="G380" i="3"/>
  <c r="E379" i="3"/>
  <c r="F379" i="3"/>
  <c r="G379" i="3"/>
  <c r="E378" i="3"/>
  <c r="F378" i="3"/>
  <c r="G378" i="3"/>
  <c r="E377" i="3"/>
  <c r="F377" i="3"/>
  <c r="G377" i="3"/>
  <c r="E376" i="3"/>
  <c r="F376" i="3"/>
  <c r="G376" i="3"/>
  <c r="E375" i="3"/>
  <c r="F375" i="3"/>
  <c r="G375" i="3"/>
  <c r="E374" i="3"/>
  <c r="F374" i="3"/>
  <c r="G374" i="3"/>
  <c r="E373" i="3"/>
  <c r="F373" i="3"/>
  <c r="G373" i="3"/>
  <c r="E372" i="3"/>
  <c r="F372" i="3"/>
  <c r="G372" i="3"/>
  <c r="E371" i="3"/>
  <c r="F371" i="3"/>
  <c r="G371" i="3"/>
  <c r="E370" i="3"/>
  <c r="F370" i="3"/>
  <c r="G370" i="3"/>
  <c r="E369" i="3"/>
  <c r="F369" i="3"/>
  <c r="G369" i="3"/>
  <c r="E368" i="3"/>
  <c r="F368" i="3"/>
  <c r="G368" i="3"/>
  <c r="E367" i="3"/>
  <c r="F367" i="3"/>
  <c r="G367" i="3"/>
  <c r="E366" i="3"/>
  <c r="F366" i="3"/>
  <c r="G366" i="3"/>
  <c r="E365" i="3"/>
  <c r="F365" i="3"/>
  <c r="G365" i="3"/>
  <c r="E364" i="3"/>
  <c r="F364" i="3"/>
  <c r="G364" i="3"/>
  <c r="E363" i="3"/>
  <c r="F363" i="3"/>
  <c r="G363" i="3"/>
  <c r="E362" i="3"/>
  <c r="F362" i="3"/>
  <c r="G362" i="3"/>
  <c r="E361" i="3"/>
  <c r="F361" i="3"/>
  <c r="G361" i="3"/>
  <c r="E360" i="3"/>
  <c r="F360" i="3"/>
  <c r="G360" i="3"/>
  <c r="E359" i="3"/>
  <c r="F359" i="3"/>
  <c r="G359" i="3"/>
  <c r="E358" i="3"/>
  <c r="F358" i="3"/>
  <c r="G358" i="3"/>
  <c r="E357" i="3"/>
  <c r="F357" i="3"/>
  <c r="G357" i="3"/>
  <c r="E356" i="3"/>
  <c r="F356" i="3"/>
  <c r="G356" i="3"/>
  <c r="E355" i="3"/>
  <c r="F355" i="3"/>
  <c r="G355" i="3"/>
  <c r="E354" i="3"/>
  <c r="F354" i="3"/>
  <c r="G354" i="3"/>
  <c r="E353" i="3"/>
  <c r="F353" i="3"/>
  <c r="G353" i="3"/>
  <c r="E352" i="3"/>
  <c r="F352" i="3"/>
  <c r="G352" i="3"/>
  <c r="E351" i="3"/>
  <c r="F351" i="3"/>
  <c r="G351" i="3"/>
  <c r="E350" i="3"/>
  <c r="F350" i="3"/>
  <c r="G350" i="3"/>
  <c r="E349" i="3"/>
  <c r="F349" i="3"/>
  <c r="G349" i="3"/>
  <c r="E348" i="3"/>
  <c r="F348" i="3"/>
  <c r="G348" i="3"/>
  <c r="E347" i="3"/>
  <c r="F347" i="3"/>
  <c r="G347" i="3"/>
  <c r="E346" i="3"/>
  <c r="F346" i="3"/>
  <c r="G346" i="3"/>
  <c r="E345" i="3"/>
  <c r="F345" i="3"/>
  <c r="G345" i="3"/>
  <c r="E344" i="3"/>
  <c r="F344" i="3"/>
  <c r="G344" i="3"/>
  <c r="E343" i="3"/>
  <c r="F343" i="3"/>
  <c r="G343" i="3"/>
  <c r="E342" i="3"/>
  <c r="F342" i="3"/>
  <c r="G342" i="3"/>
  <c r="E341" i="3"/>
  <c r="F341" i="3"/>
  <c r="G341" i="3"/>
  <c r="E340" i="3"/>
  <c r="F340" i="3"/>
  <c r="G340" i="3"/>
  <c r="E339" i="3"/>
  <c r="F339" i="3"/>
  <c r="G339" i="3"/>
  <c r="E338" i="3"/>
  <c r="F338" i="3"/>
  <c r="G338" i="3"/>
  <c r="E337" i="3"/>
  <c r="F337" i="3"/>
  <c r="G337" i="3"/>
  <c r="E336" i="3"/>
  <c r="F336" i="3"/>
  <c r="G336" i="3"/>
  <c r="E335" i="3"/>
  <c r="F335" i="3"/>
  <c r="G335" i="3"/>
  <c r="E334" i="3"/>
  <c r="F334" i="3"/>
  <c r="G334" i="3"/>
  <c r="E333" i="3"/>
  <c r="F333" i="3"/>
  <c r="G333" i="3"/>
  <c r="E332" i="3"/>
  <c r="F332" i="3"/>
  <c r="G332" i="3"/>
  <c r="E331" i="3"/>
  <c r="F331" i="3"/>
  <c r="G331" i="3"/>
  <c r="E330" i="3"/>
  <c r="F330" i="3"/>
  <c r="G330" i="3"/>
  <c r="E329" i="3"/>
  <c r="F329" i="3"/>
  <c r="G329" i="3"/>
  <c r="E328" i="3"/>
  <c r="F328" i="3"/>
  <c r="G328" i="3"/>
  <c r="E327" i="3"/>
  <c r="F327" i="3"/>
  <c r="G327" i="3"/>
  <c r="E326" i="3"/>
  <c r="F326" i="3"/>
  <c r="G326" i="3"/>
  <c r="E325" i="3"/>
  <c r="F325" i="3"/>
  <c r="G325" i="3"/>
  <c r="E324" i="3"/>
  <c r="F324" i="3"/>
  <c r="G324" i="3"/>
  <c r="E323" i="3"/>
  <c r="F323" i="3"/>
  <c r="G323" i="3"/>
  <c r="E322" i="3"/>
  <c r="F322" i="3"/>
  <c r="G322" i="3"/>
  <c r="E321" i="3"/>
  <c r="F321" i="3"/>
  <c r="G321" i="3"/>
  <c r="E320" i="3"/>
  <c r="F320" i="3"/>
  <c r="G320" i="3"/>
  <c r="E319" i="3"/>
  <c r="F319" i="3"/>
  <c r="G319" i="3"/>
  <c r="E318" i="3"/>
  <c r="F318" i="3"/>
  <c r="G318" i="3"/>
  <c r="E317" i="3"/>
  <c r="F317" i="3"/>
  <c r="G317" i="3"/>
  <c r="E316" i="3"/>
  <c r="F316" i="3"/>
  <c r="G316" i="3"/>
  <c r="E315" i="3"/>
  <c r="F315" i="3"/>
  <c r="G315" i="3"/>
  <c r="E314" i="3"/>
  <c r="F314" i="3"/>
  <c r="G314" i="3"/>
  <c r="E313" i="3"/>
  <c r="F313" i="3"/>
  <c r="G313" i="3"/>
  <c r="E312" i="3"/>
  <c r="F312" i="3"/>
  <c r="G312" i="3"/>
  <c r="E311" i="3"/>
  <c r="F311" i="3"/>
  <c r="G311" i="3"/>
  <c r="E310" i="3"/>
  <c r="F310" i="3"/>
  <c r="G310" i="3"/>
  <c r="E309" i="3"/>
  <c r="F309" i="3"/>
  <c r="G309" i="3"/>
  <c r="E308" i="3"/>
  <c r="F308" i="3"/>
  <c r="G308" i="3"/>
  <c r="E307" i="3"/>
  <c r="F307" i="3"/>
  <c r="G307" i="3"/>
  <c r="E306" i="3"/>
  <c r="F306" i="3"/>
  <c r="G306" i="3"/>
  <c r="E305" i="3"/>
  <c r="F305" i="3"/>
  <c r="G305" i="3"/>
  <c r="E304" i="3"/>
  <c r="F304" i="3"/>
  <c r="G304" i="3"/>
  <c r="E303" i="3"/>
  <c r="F303" i="3"/>
  <c r="G303" i="3"/>
  <c r="E302" i="3"/>
  <c r="F302" i="3"/>
  <c r="G302" i="3"/>
  <c r="E301" i="3"/>
  <c r="F301" i="3"/>
  <c r="G301" i="3"/>
  <c r="E300" i="3"/>
  <c r="F300" i="3"/>
  <c r="G300" i="3"/>
  <c r="E299" i="3"/>
  <c r="F299" i="3"/>
  <c r="G299" i="3"/>
  <c r="E298" i="3"/>
  <c r="F298" i="3"/>
  <c r="G298" i="3"/>
  <c r="E297" i="3"/>
  <c r="F297" i="3"/>
  <c r="G297" i="3"/>
  <c r="E296" i="3"/>
  <c r="F296" i="3"/>
  <c r="G296" i="3"/>
  <c r="E295" i="3"/>
  <c r="F295" i="3"/>
  <c r="G295" i="3"/>
  <c r="E294" i="3"/>
  <c r="F294" i="3"/>
  <c r="G294" i="3"/>
  <c r="E293" i="3"/>
  <c r="F293" i="3"/>
  <c r="G293" i="3"/>
  <c r="E292" i="3"/>
  <c r="F292" i="3"/>
  <c r="G292" i="3"/>
  <c r="E291" i="3"/>
  <c r="F291" i="3"/>
  <c r="G291" i="3"/>
  <c r="E290" i="3"/>
  <c r="F290" i="3"/>
  <c r="G290" i="3"/>
  <c r="E289" i="3"/>
  <c r="F289" i="3"/>
  <c r="G289" i="3"/>
  <c r="E288" i="3"/>
  <c r="F288" i="3"/>
  <c r="G288" i="3"/>
  <c r="E287" i="3"/>
  <c r="F287" i="3"/>
  <c r="G287" i="3"/>
  <c r="E286" i="3"/>
  <c r="F286" i="3"/>
  <c r="G286" i="3"/>
  <c r="E285" i="3"/>
  <c r="F285" i="3"/>
  <c r="G285" i="3"/>
  <c r="E284" i="3"/>
  <c r="F284" i="3"/>
  <c r="G284" i="3"/>
  <c r="E283" i="3"/>
  <c r="F283" i="3"/>
  <c r="G283" i="3"/>
  <c r="E282" i="3"/>
  <c r="F282" i="3"/>
  <c r="G282" i="3"/>
  <c r="E281" i="3"/>
  <c r="F281" i="3"/>
  <c r="G281" i="3"/>
  <c r="E280" i="3"/>
  <c r="F280" i="3"/>
  <c r="G280" i="3"/>
  <c r="E279" i="3"/>
  <c r="F279" i="3"/>
  <c r="G279" i="3"/>
  <c r="E278" i="3"/>
  <c r="F278" i="3"/>
  <c r="G278" i="3"/>
  <c r="E277" i="3"/>
  <c r="F277" i="3"/>
  <c r="G277" i="3"/>
  <c r="E276" i="3"/>
  <c r="F276" i="3"/>
  <c r="G276" i="3"/>
  <c r="E275" i="3"/>
  <c r="F275" i="3"/>
  <c r="G275" i="3"/>
  <c r="E274" i="3"/>
  <c r="F274" i="3"/>
  <c r="G274" i="3"/>
  <c r="E273" i="3"/>
  <c r="F273" i="3"/>
  <c r="G273" i="3"/>
  <c r="E272" i="3"/>
  <c r="F272" i="3"/>
  <c r="G272" i="3"/>
  <c r="E271" i="3"/>
  <c r="F271" i="3"/>
  <c r="G271" i="3"/>
  <c r="E270" i="3"/>
  <c r="F270" i="3"/>
  <c r="G270" i="3"/>
  <c r="E269" i="3"/>
  <c r="F269" i="3"/>
  <c r="G269" i="3"/>
  <c r="E268" i="3"/>
  <c r="F268" i="3"/>
  <c r="G268" i="3"/>
  <c r="E267" i="3"/>
  <c r="F267" i="3"/>
  <c r="G267" i="3"/>
  <c r="E266" i="3"/>
  <c r="F266" i="3"/>
  <c r="G266" i="3"/>
  <c r="E265" i="3"/>
  <c r="F265" i="3"/>
  <c r="G265" i="3"/>
  <c r="E264" i="3"/>
  <c r="F264" i="3"/>
  <c r="G264" i="3"/>
  <c r="E263" i="3"/>
  <c r="F263" i="3"/>
  <c r="G263" i="3"/>
  <c r="E262" i="3"/>
  <c r="F262" i="3"/>
  <c r="G262" i="3"/>
  <c r="E261" i="3"/>
  <c r="F261" i="3"/>
  <c r="G261" i="3"/>
  <c r="E260" i="3"/>
  <c r="F260" i="3"/>
  <c r="G260" i="3"/>
  <c r="E259" i="3"/>
  <c r="F259" i="3"/>
  <c r="G259" i="3"/>
  <c r="E258" i="3"/>
  <c r="F258" i="3"/>
  <c r="G258" i="3"/>
  <c r="E257" i="3"/>
  <c r="F257" i="3"/>
  <c r="G257" i="3"/>
  <c r="E256" i="3"/>
  <c r="F256" i="3"/>
  <c r="G256" i="3"/>
  <c r="E255" i="3"/>
  <c r="F255" i="3"/>
  <c r="G255" i="3"/>
  <c r="E254" i="3"/>
  <c r="F254" i="3"/>
  <c r="G254" i="3"/>
  <c r="E253" i="3"/>
  <c r="F253" i="3"/>
  <c r="G253" i="3"/>
  <c r="E252" i="3"/>
  <c r="F252" i="3"/>
  <c r="G252" i="3"/>
  <c r="E251" i="3"/>
  <c r="F251" i="3"/>
  <c r="G251" i="3"/>
  <c r="E250" i="3"/>
  <c r="F250" i="3"/>
  <c r="G250" i="3"/>
  <c r="E249" i="3"/>
  <c r="F249" i="3"/>
  <c r="G249" i="3"/>
  <c r="E248" i="3"/>
  <c r="F248" i="3"/>
  <c r="G248" i="3"/>
  <c r="E247" i="3"/>
  <c r="F247" i="3"/>
  <c r="G247" i="3"/>
  <c r="E246" i="3"/>
  <c r="F246" i="3"/>
  <c r="G246" i="3"/>
  <c r="E245" i="3"/>
  <c r="F245" i="3"/>
  <c r="G245" i="3"/>
  <c r="E244" i="3"/>
  <c r="F244" i="3"/>
  <c r="G244" i="3"/>
  <c r="E243" i="3"/>
  <c r="F243" i="3"/>
  <c r="G243" i="3"/>
  <c r="E242" i="3"/>
  <c r="F242" i="3"/>
  <c r="G242" i="3"/>
  <c r="E241" i="3"/>
  <c r="F241" i="3"/>
  <c r="G241" i="3"/>
  <c r="E240" i="3"/>
  <c r="F240" i="3"/>
  <c r="G240" i="3"/>
  <c r="E239" i="3"/>
  <c r="F239" i="3"/>
  <c r="G239" i="3"/>
  <c r="E238" i="3"/>
  <c r="F238" i="3"/>
  <c r="G238" i="3"/>
  <c r="E237" i="3"/>
  <c r="F237" i="3"/>
  <c r="G237" i="3"/>
  <c r="E236" i="3"/>
  <c r="F236" i="3"/>
  <c r="G236" i="3"/>
  <c r="E235" i="3"/>
  <c r="F235" i="3"/>
  <c r="G235" i="3"/>
  <c r="E234" i="3"/>
  <c r="F234" i="3"/>
  <c r="G234" i="3"/>
  <c r="E233" i="3"/>
  <c r="F233" i="3"/>
  <c r="G233" i="3"/>
  <c r="E232" i="3"/>
  <c r="F232" i="3"/>
  <c r="G232" i="3"/>
  <c r="E231" i="3"/>
  <c r="F231" i="3"/>
  <c r="G231" i="3"/>
  <c r="E230" i="3"/>
  <c r="F230" i="3"/>
  <c r="G230" i="3"/>
  <c r="E229" i="3"/>
  <c r="F229" i="3"/>
  <c r="G229" i="3"/>
  <c r="E228" i="3"/>
  <c r="F228" i="3"/>
  <c r="G228" i="3"/>
  <c r="E227" i="3"/>
  <c r="F227" i="3"/>
  <c r="G227" i="3"/>
  <c r="E226" i="3"/>
  <c r="F226" i="3"/>
  <c r="G226" i="3"/>
  <c r="E225" i="3"/>
  <c r="F225" i="3"/>
  <c r="G225" i="3"/>
  <c r="E224" i="3"/>
  <c r="F224" i="3"/>
  <c r="G224" i="3"/>
  <c r="E223" i="3"/>
  <c r="F223" i="3"/>
  <c r="G223" i="3"/>
  <c r="E222" i="3"/>
  <c r="F222" i="3"/>
  <c r="G222" i="3"/>
  <c r="E221" i="3"/>
  <c r="F221" i="3"/>
  <c r="G221" i="3"/>
  <c r="E220" i="3"/>
  <c r="F220" i="3"/>
  <c r="G220" i="3"/>
  <c r="E219" i="3"/>
  <c r="F219" i="3"/>
  <c r="G219" i="3"/>
  <c r="E218" i="3"/>
  <c r="F218" i="3"/>
  <c r="G218" i="3"/>
  <c r="E217" i="3"/>
  <c r="F217" i="3"/>
  <c r="G217" i="3"/>
  <c r="E216" i="3"/>
  <c r="F216" i="3"/>
  <c r="G216" i="3"/>
  <c r="E215" i="3"/>
  <c r="F215" i="3"/>
  <c r="G215" i="3"/>
  <c r="E214" i="3"/>
  <c r="F214" i="3"/>
  <c r="G214" i="3"/>
  <c r="E213" i="3"/>
  <c r="F213" i="3"/>
  <c r="G213" i="3"/>
  <c r="E212" i="3"/>
  <c r="F212" i="3"/>
  <c r="G212" i="3"/>
  <c r="E211" i="3"/>
  <c r="F211" i="3"/>
  <c r="G211" i="3"/>
  <c r="E210" i="3"/>
  <c r="F210" i="3"/>
  <c r="G210" i="3"/>
  <c r="E209" i="3"/>
  <c r="F209" i="3"/>
  <c r="G209" i="3"/>
  <c r="E208" i="3"/>
  <c r="F208" i="3"/>
  <c r="G208" i="3"/>
  <c r="E207" i="3"/>
  <c r="F207" i="3"/>
  <c r="G207" i="3"/>
  <c r="E206" i="3"/>
  <c r="F206" i="3"/>
  <c r="G206" i="3"/>
  <c r="E205" i="3"/>
  <c r="F205" i="3"/>
  <c r="G205" i="3"/>
  <c r="E204" i="3"/>
  <c r="F204" i="3"/>
  <c r="G204" i="3"/>
  <c r="E203" i="3"/>
  <c r="F203" i="3"/>
  <c r="G203" i="3"/>
  <c r="E202" i="3"/>
  <c r="F202" i="3"/>
  <c r="G202" i="3"/>
  <c r="E201" i="3"/>
  <c r="F201" i="3"/>
  <c r="G201" i="3"/>
  <c r="E200" i="3"/>
  <c r="F200" i="3"/>
  <c r="G200" i="3"/>
  <c r="E199" i="3"/>
  <c r="F199" i="3"/>
  <c r="G199" i="3"/>
  <c r="E198" i="3"/>
  <c r="F198" i="3"/>
  <c r="G198" i="3"/>
  <c r="E197" i="3"/>
  <c r="F197" i="3"/>
  <c r="G197" i="3"/>
  <c r="E196" i="3"/>
  <c r="F196" i="3"/>
  <c r="G196" i="3"/>
  <c r="E195" i="3"/>
  <c r="F195" i="3"/>
  <c r="G195" i="3"/>
  <c r="E194" i="3"/>
  <c r="F194" i="3"/>
  <c r="G194" i="3"/>
  <c r="E193" i="3"/>
  <c r="F193" i="3"/>
  <c r="G193" i="3"/>
  <c r="E192" i="3"/>
  <c r="F192" i="3"/>
  <c r="G192" i="3"/>
  <c r="E191" i="3"/>
  <c r="F191" i="3"/>
  <c r="G191" i="3"/>
  <c r="E190" i="3"/>
  <c r="F190" i="3"/>
  <c r="G190" i="3"/>
  <c r="E189" i="3"/>
  <c r="F189" i="3"/>
  <c r="G189" i="3"/>
  <c r="E188" i="3"/>
  <c r="F188" i="3"/>
  <c r="G188" i="3"/>
  <c r="E187" i="3"/>
  <c r="F187" i="3"/>
  <c r="G187" i="3"/>
  <c r="E186" i="3"/>
  <c r="F186" i="3"/>
  <c r="G186" i="3"/>
  <c r="E185" i="3"/>
  <c r="F185" i="3"/>
  <c r="G185" i="3"/>
  <c r="E184" i="3"/>
  <c r="F184" i="3"/>
  <c r="G184" i="3"/>
  <c r="E183" i="3"/>
  <c r="F183" i="3"/>
  <c r="G183" i="3"/>
  <c r="E182" i="3"/>
  <c r="F182" i="3"/>
  <c r="G182" i="3"/>
  <c r="E181" i="3"/>
  <c r="F181" i="3"/>
  <c r="G181" i="3"/>
  <c r="E180" i="3"/>
  <c r="F180" i="3"/>
  <c r="G180" i="3"/>
  <c r="E179" i="3"/>
  <c r="F179" i="3"/>
  <c r="G179" i="3"/>
  <c r="E178" i="3"/>
  <c r="F178" i="3"/>
  <c r="G178" i="3"/>
  <c r="E177" i="3"/>
  <c r="F177" i="3"/>
  <c r="G177" i="3"/>
  <c r="E176" i="3"/>
  <c r="F176" i="3"/>
  <c r="G176" i="3"/>
  <c r="E175" i="3"/>
  <c r="F175" i="3"/>
  <c r="G175" i="3"/>
  <c r="E174" i="3"/>
  <c r="F174" i="3"/>
  <c r="G174" i="3"/>
  <c r="E173" i="3"/>
  <c r="F173" i="3"/>
  <c r="G173" i="3"/>
  <c r="E172" i="3"/>
  <c r="F172" i="3"/>
  <c r="G172" i="3"/>
  <c r="E171" i="3"/>
  <c r="F171" i="3"/>
  <c r="G171" i="3"/>
  <c r="E170" i="3"/>
  <c r="F170" i="3"/>
  <c r="G170" i="3"/>
  <c r="E169" i="3"/>
  <c r="F169" i="3"/>
  <c r="G169" i="3"/>
  <c r="E168" i="3"/>
  <c r="F168" i="3"/>
  <c r="G168" i="3"/>
  <c r="E167" i="3"/>
  <c r="F167" i="3"/>
  <c r="G167" i="3"/>
  <c r="E166" i="3"/>
  <c r="F166" i="3"/>
  <c r="G166" i="3"/>
  <c r="E165" i="3"/>
  <c r="F165" i="3"/>
  <c r="G165" i="3"/>
  <c r="E164" i="3"/>
  <c r="F164" i="3"/>
  <c r="G164" i="3"/>
  <c r="E163" i="3"/>
  <c r="F163" i="3"/>
  <c r="G163" i="3"/>
  <c r="E162" i="3"/>
  <c r="F162" i="3"/>
  <c r="G162" i="3"/>
  <c r="E161" i="3"/>
  <c r="F161" i="3"/>
  <c r="G161" i="3"/>
  <c r="E160" i="3"/>
  <c r="F160" i="3"/>
  <c r="G160" i="3"/>
  <c r="E159" i="3"/>
  <c r="F159" i="3"/>
  <c r="G159" i="3"/>
  <c r="E158" i="3"/>
  <c r="F158" i="3"/>
  <c r="G158" i="3"/>
  <c r="E157" i="3"/>
  <c r="F157" i="3"/>
  <c r="G157" i="3"/>
  <c r="E156" i="3"/>
  <c r="F156" i="3"/>
  <c r="G156" i="3"/>
  <c r="E155" i="3"/>
  <c r="F155" i="3"/>
  <c r="G155" i="3"/>
  <c r="E154" i="3"/>
  <c r="F154" i="3"/>
  <c r="G154" i="3"/>
  <c r="E153" i="3"/>
  <c r="F153" i="3"/>
  <c r="G153" i="3"/>
  <c r="E152" i="3"/>
  <c r="F152" i="3"/>
  <c r="G152" i="3"/>
  <c r="E151" i="3"/>
  <c r="F151" i="3"/>
  <c r="G151" i="3"/>
  <c r="E150" i="3"/>
  <c r="F150" i="3"/>
  <c r="G150" i="3"/>
  <c r="E149" i="3"/>
  <c r="F149" i="3"/>
  <c r="G149" i="3"/>
  <c r="E148" i="3"/>
  <c r="F148" i="3"/>
  <c r="G148" i="3"/>
  <c r="E147" i="3"/>
  <c r="F147" i="3"/>
  <c r="G147" i="3"/>
  <c r="E146" i="3"/>
  <c r="F146" i="3"/>
  <c r="G146" i="3"/>
  <c r="E145" i="3"/>
  <c r="F145" i="3"/>
  <c r="G145" i="3"/>
  <c r="E144" i="3"/>
  <c r="F144" i="3"/>
  <c r="G144" i="3"/>
  <c r="E143" i="3"/>
  <c r="F143" i="3"/>
  <c r="G143" i="3"/>
  <c r="E142" i="3"/>
  <c r="F142" i="3"/>
  <c r="G142" i="3"/>
  <c r="E141" i="3"/>
  <c r="F141" i="3"/>
  <c r="G141" i="3"/>
  <c r="E140" i="3"/>
  <c r="F140" i="3"/>
  <c r="G140" i="3"/>
  <c r="E139" i="3"/>
  <c r="F139" i="3"/>
  <c r="G139" i="3"/>
  <c r="E138" i="3"/>
  <c r="F138" i="3"/>
  <c r="G138" i="3"/>
  <c r="E137" i="3"/>
  <c r="F137" i="3"/>
  <c r="G137" i="3"/>
  <c r="E136" i="3"/>
  <c r="F136" i="3"/>
  <c r="G136" i="3"/>
  <c r="E135" i="3"/>
  <c r="F135" i="3"/>
  <c r="G135" i="3"/>
  <c r="E134" i="3"/>
  <c r="F134" i="3"/>
  <c r="G134" i="3"/>
  <c r="E133" i="3"/>
  <c r="F133" i="3"/>
  <c r="G133" i="3"/>
  <c r="E132" i="3"/>
  <c r="F132" i="3"/>
  <c r="G132" i="3"/>
  <c r="E131" i="3"/>
  <c r="F131" i="3"/>
  <c r="G131" i="3"/>
  <c r="E130" i="3"/>
  <c r="F130" i="3"/>
  <c r="G130" i="3"/>
  <c r="E129" i="3"/>
  <c r="F129" i="3"/>
  <c r="G129" i="3"/>
  <c r="E128" i="3"/>
  <c r="F128" i="3"/>
  <c r="G128" i="3"/>
  <c r="E127" i="3"/>
  <c r="F127" i="3"/>
  <c r="G127" i="3"/>
  <c r="E126" i="3"/>
  <c r="F126" i="3"/>
  <c r="G126" i="3"/>
  <c r="E125" i="3"/>
  <c r="F125" i="3"/>
  <c r="G125" i="3"/>
  <c r="E124" i="3"/>
  <c r="F124" i="3"/>
  <c r="G124" i="3"/>
  <c r="E123" i="3"/>
  <c r="F123" i="3"/>
  <c r="G123" i="3"/>
  <c r="E122" i="3"/>
  <c r="F122" i="3"/>
  <c r="G122" i="3"/>
  <c r="E121" i="3"/>
  <c r="F121" i="3"/>
  <c r="G121" i="3"/>
  <c r="E120" i="3"/>
  <c r="F120" i="3"/>
  <c r="G120" i="3"/>
  <c r="E119" i="3"/>
  <c r="F119" i="3"/>
  <c r="G119" i="3"/>
  <c r="E118" i="3"/>
  <c r="F118" i="3"/>
  <c r="G118" i="3"/>
  <c r="E117" i="3"/>
  <c r="F117" i="3"/>
  <c r="G117" i="3"/>
  <c r="E116" i="3"/>
  <c r="F116" i="3"/>
  <c r="G116" i="3"/>
  <c r="E115" i="3"/>
  <c r="F115" i="3"/>
  <c r="G115" i="3"/>
  <c r="E114" i="3"/>
  <c r="F114" i="3"/>
  <c r="G114" i="3"/>
  <c r="E113" i="3"/>
  <c r="F113" i="3"/>
  <c r="G113" i="3"/>
  <c r="E112" i="3"/>
  <c r="F112" i="3"/>
  <c r="G112" i="3"/>
  <c r="E111" i="3"/>
  <c r="F111" i="3"/>
  <c r="G111" i="3"/>
  <c r="E110" i="3"/>
  <c r="F110" i="3"/>
  <c r="G110" i="3"/>
  <c r="E109" i="3"/>
  <c r="F109" i="3"/>
  <c r="G109" i="3"/>
  <c r="E108" i="3"/>
  <c r="F108" i="3"/>
  <c r="G108" i="3"/>
  <c r="E107" i="3"/>
  <c r="F107" i="3"/>
  <c r="G107" i="3"/>
  <c r="E106" i="3"/>
  <c r="F106" i="3"/>
  <c r="G106" i="3"/>
  <c r="E105" i="3"/>
  <c r="F105" i="3"/>
  <c r="G105" i="3"/>
  <c r="E104" i="3"/>
  <c r="F104" i="3"/>
  <c r="G104" i="3"/>
  <c r="E103" i="3"/>
  <c r="F103" i="3"/>
  <c r="G103" i="3"/>
  <c r="E102" i="3"/>
  <c r="F102" i="3"/>
  <c r="G102" i="3"/>
  <c r="E101" i="3"/>
  <c r="F101" i="3"/>
  <c r="G101" i="3"/>
  <c r="E100" i="3"/>
  <c r="F100" i="3"/>
  <c r="G100" i="3"/>
  <c r="E99" i="3"/>
  <c r="F99" i="3"/>
  <c r="G99" i="3"/>
  <c r="E98" i="3"/>
  <c r="F98" i="3"/>
  <c r="G98" i="3"/>
  <c r="E97" i="3"/>
  <c r="F97" i="3"/>
  <c r="G97" i="3"/>
  <c r="E96" i="3"/>
  <c r="F96" i="3"/>
  <c r="G96" i="3"/>
  <c r="E95" i="3"/>
  <c r="F95" i="3"/>
  <c r="G95" i="3"/>
  <c r="E94" i="3"/>
  <c r="F94" i="3"/>
  <c r="G94" i="3"/>
  <c r="E93" i="3"/>
  <c r="F93" i="3"/>
  <c r="G93" i="3"/>
  <c r="E92" i="3"/>
  <c r="F92" i="3"/>
  <c r="G92" i="3"/>
  <c r="E91" i="3"/>
  <c r="F91" i="3"/>
  <c r="G91" i="3"/>
  <c r="E90" i="3"/>
  <c r="F90" i="3"/>
  <c r="G90" i="3"/>
  <c r="E89" i="3"/>
  <c r="F89" i="3"/>
  <c r="G89" i="3"/>
  <c r="E88" i="3"/>
  <c r="F88" i="3"/>
  <c r="G88" i="3"/>
  <c r="E87" i="3"/>
  <c r="F87" i="3"/>
  <c r="G87" i="3"/>
  <c r="E86" i="3"/>
  <c r="F86" i="3"/>
  <c r="G86" i="3"/>
  <c r="E85" i="3"/>
  <c r="F85" i="3"/>
  <c r="G85" i="3"/>
  <c r="E84" i="3"/>
  <c r="F84" i="3"/>
  <c r="G84" i="3"/>
  <c r="E83" i="3"/>
  <c r="F83" i="3"/>
  <c r="G83" i="3"/>
  <c r="E82" i="3"/>
  <c r="F82" i="3"/>
  <c r="G82" i="3"/>
  <c r="E81" i="3"/>
  <c r="F81" i="3"/>
  <c r="G81" i="3"/>
  <c r="E80" i="3"/>
  <c r="F80" i="3"/>
  <c r="G80" i="3"/>
  <c r="E79" i="3"/>
  <c r="F79" i="3"/>
  <c r="G79" i="3"/>
  <c r="E78" i="3"/>
  <c r="F78" i="3"/>
  <c r="G78" i="3"/>
  <c r="E77" i="3"/>
  <c r="F77" i="3"/>
  <c r="G77" i="3"/>
  <c r="E76" i="3"/>
  <c r="F76" i="3"/>
  <c r="G76" i="3"/>
  <c r="E75" i="3"/>
  <c r="F75" i="3"/>
  <c r="G75" i="3"/>
  <c r="E74" i="3"/>
  <c r="F74" i="3"/>
  <c r="G74" i="3"/>
  <c r="E73" i="3"/>
  <c r="F73" i="3"/>
  <c r="G73" i="3"/>
  <c r="E72" i="3"/>
  <c r="F72" i="3"/>
  <c r="G72" i="3"/>
  <c r="E71" i="3"/>
  <c r="F71" i="3"/>
  <c r="G71" i="3"/>
  <c r="E70" i="3"/>
  <c r="F70" i="3"/>
  <c r="G70" i="3"/>
  <c r="E69" i="3"/>
  <c r="F69" i="3"/>
  <c r="G69" i="3"/>
  <c r="E68" i="3"/>
  <c r="F68" i="3"/>
  <c r="G68" i="3"/>
  <c r="E67" i="3"/>
  <c r="F67" i="3"/>
  <c r="G67" i="3"/>
  <c r="E66" i="3"/>
  <c r="F66" i="3"/>
  <c r="G66" i="3"/>
  <c r="E65" i="3"/>
  <c r="F65" i="3"/>
  <c r="G65" i="3"/>
  <c r="E64" i="3"/>
  <c r="F64" i="3"/>
  <c r="G64" i="3"/>
  <c r="E63" i="3"/>
  <c r="F63" i="3"/>
  <c r="G63" i="3"/>
  <c r="E62" i="3"/>
  <c r="F62" i="3"/>
  <c r="G62" i="3"/>
  <c r="E61" i="3"/>
  <c r="F61" i="3"/>
  <c r="G61" i="3"/>
  <c r="E60" i="3"/>
  <c r="F60" i="3"/>
  <c r="G60" i="3"/>
  <c r="E59" i="3"/>
  <c r="F59" i="3"/>
  <c r="G59" i="3"/>
  <c r="E58" i="3"/>
  <c r="F58" i="3"/>
  <c r="G58" i="3"/>
  <c r="E57" i="3"/>
  <c r="F57" i="3"/>
  <c r="G57" i="3"/>
  <c r="E56" i="3"/>
  <c r="F56" i="3"/>
  <c r="G56" i="3"/>
  <c r="E55" i="3"/>
  <c r="F55" i="3"/>
  <c r="G55" i="3"/>
  <c r="E54" i="3"/>
  <c r="F54" i="3"/>
  <c r="G54" i="3"/>
  <c r="E53" i="3"/>
  <c r="F53" i="3"/>
  <c r="G53" i="3"/>
  <c r="E52" i="3"/>
  <c r="F52" i="3"/>
  <c r="G52" i="3"/>
  <c r="E51" i="3"/>
  <c r="F51" i="3"/>
  <c r="G51" i="3"/>
  <c r="E50" i="3"/>
  <c r="F50" i="3"/>
  <c r="G50" i="3"/>
  <c r="E49" i="3"/>
  <c r="F49" i="3"/>
  <c r="G49" i="3"/>
  <c r="E48" i="3"/>
  <c r="F48" i="3"/>
  <c r="G48" i="3"/>
  <c r="E47" i="3"/>
  <c r="F47" i="3"/>
  <c r="G47" i="3"/>
  <c r="E46" i="3"/>
  <c r="F46" i="3"/>
  <c r="G46" i="3"/>
  <c r="E45" i="3"/>
  <c r="F45" i="3"/>
  <c r="G45" i="3"/>
  <c r="E44" i="3"/>
  <c r="F44" i="3"/>
  <c r="G44" i="3"/>
  <c r="E43" i="3"/>
  <c r="F43" i="3"/>
  <c r="G43" i="3"/>
  <c r="E42" i="3"/>
  <c r="F42" i="3"/>
  <c r="G42" i="3"/>
  <c r="E41" i="3"/>
  <c r="F41" i="3"/>
  <c r="G41" i="3"/>
  <c r="E40" i="3"/>
  <c r="F40" i="3"/>
  <c r="G40" i="3"/>
  <c r="E39" i="3"/>
  <c r="F39" i="3"/>
  <c r="G39" i="3"/>
  <c r="E38" i="3"/>
  <c r="F38" i="3"/>
  <c r="G38" i="3"/>
  <c r="E37" i="3"/>
  <c r="F37" i="3"/>
  <c r="G37" i="3"/>
  <c r="E36" i="3"/>
  <c r="F36" i="3"/>
  <c r="G36" i="3"/>
  <c r="E35" i="3"/>
  <c r="F35" i="3"/>
  <c r="G35" i="3"/>
  <c r="E34" i="3"/>
  <c r="F34" i="3"/>
  <c r="G34" i="3"/>
  <c r="E33" i="3"/>
  <c r="F33" i="3"/>
  <c r="G33" i="3"/>
  <c r="E32" i="3"/>
  <c r="F32" i="3"/>
  <c r="G32" i="3"/>
  <c r="E31" i="3"/>
  <c r="F31" i="3"/>
  <c r="G31" i="3"/>
  <c r="E30" i="3"/>
  <c r="F30" i="3"/>
  <c r="G30" i="3"/>
  <c r="E29" i="3"/>
  <c r="F29" i="3"/>
  <c r="G29" i="3"/>
  <c r="E28" i="3"/>
  <c r="F28" i="3"/>
  <c r="G28" i="3"/>
  <c r="E27" i="3"/>
  <c r="F27" i="3"/>
  <c r="G27" i="3"/>
  <c r="E26" i="3"/>
  <c r="F26" i="3"/>
  <c r="G26" i="3"/>
  <c r="E25" i="3"/>
  <c r="F25" i="3"/>
  <c r="G25" i="3"/>
  <c r="E24" i="3"/>
  <c r="F24" i="3"/>
  <c r="G24" i="3"/>
  <c r="E23" i="3"/>
  <c r="F23" i="3"/>
  <c r="G23" i="3"/>
  <c r="E22" i="3"/>
  <c r="F22" i="3"/>
  <c r="G22" i="3"/>
  <c r="E21" i="3"/>
  <c r="F21" i="3"/>
  <c r="G21" i="3"/>
  <c r="E20" i="3"/>
  <c r="F20" i="3"/>
  <c r="G20" i="3"/>
  <c r="E19" i="3"/>
  <c r="F19" i="3"/>
  <c r="G19" i="3"/>
  <c r="E18" i="3"/>
  <c r="F18" i="3"/>
  <c r="G18" i="3"/>
  <c r="E17" i="3"/>
  <c r="F17" i="3"/>
  <c r="G17" i="3"/>
  <c r="E16" i="3"/>
  <c r="F16" i="3"/>
  <c r="G16" i="3"/>
  <c r="E15" i="3"/>
  <c r="F15" i="3"/>
  <c r="G15" i="3"/>
  <c r="E14" i="3"/>
  <c r="F14" i="3"/>
  <c r="G14" i="3"/>
  <c r="E13" i="3"/>
  <c r="F13" i="3"/>
  <c r="G13" i="3"/>
  <c r="E12" i="3"/>
  <c r="F12" i="3"/>
  <c r="G12" i="3"/>
  <c r="E11" i="3"/>
  <c r="F11" i="3"/>
  <c r="G11" i="3"/>
  <c r="E10" i="3"/>
  <c r="F10" i="3"/>
  <c r="G10" i="3"/>
  <c r="E9" i="3"/>
  <c r="F9" i="3"/>
  <c r="G9" i="3"/>
  <c r="E8" i="3"/>
  <c r="F8" i="3"/>
  <c r="G8" i="3"/>
  <c r="E7" i="3"/>
  <c r="F7" i="3"/>
  <c r="G7" i="3"/>
  <c r="E6" i="3"/>
  <c r="F6" i="3"/>
  <c r="G6" i="3"/>
  <c r="E5" i="3"/>
  <c r="F5" i="3"/>
  <c r="G5" i="3"/>
  <c r="E4" i="3"/>
  <c r="F4" i="3"/>
  <c r="G4" i="3"/>
  <c r="E3" i="3"/>
  <c r="F3" i="3"/>
  <c r="G3" i="3"/>
  <c r="E2" i="3"/>
  <c r="F2" i="3"/>
  <c r="G2" i="3"/>
  <c r="C3" i="4"/>
  <c r="D3" i="4"/>
  <c r="B3" i="4"/>
  <c r="E3" i="4"/>
  <c r="F3" i="4"/>
  <c r="C4" i="4"/>
  <c r="D4" i="4"/>
  <c r="B4" i="4"/>
  <c r="E4" i="4"/>
  <c r="F4" i="4"/>
  <c r="C5" i="4"/>
  <c r="D5" i="4"/>
  <c r="B5" i="4"/>
  <c r="E5" i="4"/>
  <c r="F5" i="4"/>
  <c r="C6" i="4"/>
  <c r="D6" i="4"/>
  <c r="B6" i="4"/>
  <c r="E6" i="4"/>
  <c r="F6" i="4"/>
  <c r="C7" i="4"/>
  <c r="D7" i="4"/>
  <c r="B7" i="4"/>
  <c r="E7" i="4"/>
  <c r="F7" i="4"/>
  <c r="C8" i="4"/>
  <c r="D8" i="4"/>
  <c r="B8" i="4"/>
  <c r="E8" i="4"/>
  <c r="F8" i="4"/>
  <c r="C9" i="4"/>
  <c r="D9" i="4"/>
  <c r="B9" i="4"/>
  <c r="E9" i="4"/>
  <c r="F9" i="4"/>
  <c r="C10" i="4"/>
  <c r="D10" i="4"/>
  <c r="B10" i="4"/>
  <c r="E10" i="4"/>
  <c r="F10" i="4"/>
  <c r="C11" i="4"/>
  <c r="D11" i="4"/>
  <c r="B11" i="4"/>
  <c r="E11" i="4"/>
  <c r="F11" i="4"/>
  <c r="C12" i="4"/>
  <c r="D12" i="4"/>
  <c r="B12" i="4"/>
  <c r="E12" i="4"/>
  <c r="F12" i="4"/>
  <c r="C13" i="4"/>
  <c r="D13" i="4"/>
  <c r="B13" i="4"/>
  <c r="E13" i="4"/>
  <c r="F13" i="4"/>
  <c r="C14" i="4"/>
  <c r="D14" i="4"/>
  <c r="B14" i="4"/>
  <c r="E14" i="4"/>
  <c r="F14" i="4"/>
  <c r="C15" i="4"/>
  <c r="D15" i="4"/>
  <c r="B15" i="4"/>
  <c r="E15" i="4"/>
  <c r="F15" i="4"/>
  <c r="C16" i="4"/>
  <c r="D16" i="4"/>
  <c r="B16" i="4"/>
  <c r="E16" i="4"/>
  <c r="F16" i="4"/>
  <c r="C17" i="4"/>
  <c r="D17" i="4"/>
  <c r="B17" i="4"/>
  <c r="E17" i="4"/>
  <c r="F17" i="4"/>
  <c r="C18" i="4"/>
  <c r="D18" i="4"/>
  <c r="B18" i="4"/>
  <c r="E18" i="4"/>
  <c r="F18" i="4"/>
  <c r="C19" i="4"/>
  <c r="D19" i="4"/>
  <c r="B19" i="4"/>
  <c r="E19" i="4"/>
  <c r="F19" i="4"/>
  <c r="C20" i="4"/>
  <c r="D20" i="4"/>
  <c r="B20" i="4"/>
  <c r="E20" i="4"/>
  <c r="F20" i="4"/>
  <c r="C21" i="4"/>
  <c r="D21" i="4"/>
  <c r="B21" i="4"/>
  <c r="E21" i="4"/>
  <c r="F21" i="4"/>
  <c r="C22" i="4"/>
  <c r="D22" i="4"/>
  <c r="B22" i="4"/>
  <c r="E22" i="4"/>
  <c r="F22" i="4"/>
  <c r="C23" i="4"/>
  <c r="D23" i="4"/>
  <c r="B23" i="4"/>
  <c r="E23" i="4"/>
  <c r="F23" i="4"/>
  <c r="C24" i="4"/>
  <c r="D24" i="4"/>
  <c r="B24" i="4"/>
  <c r="E24" i="4"/>
  <c r="F24" i="4"/>
  <c r="C25" i="4"/>
  <c r="D25" i="4"/>
  <c r="B25" i="4"/>
  <c r="E25" i="4"/>
  <c r="F25" i="4"/>
  <c r="C26" i="4"/>
  <c r="D26" i="4"/>
  <c r="B26" i="4"/>
  <c r="E26" i="4"/>
  <c r="F26" i="4"/>
  <c r="C27" i="4"/>
  <c r="D27" i="4"/>
  <c r="B27" i="4"/>
  <c r="E27" i="4"/>
  <c r="F27" i="4"/>
  <c r="C28" i="4"/>
  <c r="D28" i="4"/>
  <c r="B28" i="4"/>
  <c r="E28" i="4"/>
  <c r="F28" i="4"/>
  <c r="C29" i="4"/>
  <c r="D29" i="4"/>
  <c r="B29" i="4"/>
  <c r="E29" i="4"/>
  <c r="F29" i="4"/>
  <c r="C30" i="4"/>
  <c r="D30" i="4"/>
  <c r="B30" i="4"/>
  <c r="E30" i="4"/>
  <c r="F30" i="4"/>
  <c r="C31" i="4"/>
  <c r="D31" i="4"/>
  <c r="B31" i="4"/>
  <c r="E31" i="4"/>
  <c r="F31" i="4"/>
  <c r="C32" i="4"/>
  <c r="D32" i="4"/>
  <c r="B32" i="4"/>
  <c r="E32" i="4"/>
  <c r="F32" i="4"/>
  <c r="C33" i="4"/>
  <c r="D33" i="4"/>
  <c r="B33" i="4"/>
  <c r="E33" i="4"/>
  <c r="F33" i="4"/>
  <c r="C34" i="4"/>
  <c r="D34" i="4"/>
  <c r="B34" i="4"/>
  <c r="E34" i="4"/>
  <c r="F34" i="4"/>
  <c r="C35" i="4"/>
  <c r="D35" i="4"/>
  <c r="B35" i="4"/>
  <c r="E35" i="4"/>
  <c r="F35" i="4"/>
  <c r="C36" i="4"/>
  <c r="D36" i="4"/>
  <c r="B36" i="4"/>
  <c r="E36" i="4"/>
  <c r="F36" i="4"/>
  <c r="C37" i="4"/>
  <c r="D37" i="4"/>
  <c r="B37" i="4"/>
  <c r="E37" i="4"/>
  <c r="F37" i="4"/>
  <c r="C38" i="4"/>
  <c r="D38" i="4"/>
  <c r="B38" i="4"/>
  <c r="E38" i="4"/>
  <c r="F38" i="4"/>
  <c r="C39" i="4"/>
  <c r="D39" i="4"/>
  <c r="B39" i="4"/>
  <c r="E39" i="4"/>
  <c r="F39" i="4"/>
  <c r="C40" i="4"/>
  <c r="D40" i="4"/>
  <c r="B40" i="4"/>
  <c r="E40" i="4"/>
  <c r="F40" i="4"/>
  <c r="C41" i="4"/>
  <c r="D41" i="4"/>
  <c r="B41" i="4"/>
  <c r="E41" i="4"/>
  <c r="F41" i="4"/>
  <c r="C42" i="4"/>
  <c r="D42" i="4"/>
  <c r="B42" i="4"/>
  <c r="E42" i="4"/>
  <c r="F42" i="4"/>
  <c r="C43" i="4"/>
  <c r="D43" i="4"/>
  <c r="B43" i="4"/>
  <c r="E43" i="4"/>
  <c r="F43" i="4"/>
  <c r="C44" i="4"/>
  <c r="D44" i="4"/>
  <c r="B44" i="4"/>
  <c r="E44" i="4"/>
  <c r="F44" i="4"/>
  <c r="C45" i="4"/>
  <c r="D45" i="4"/>
  <c r="B45" i="4"/>
  <c r="E45" i="4"/>
  <c r="F45" i="4"/>
  <c r="C46" i="4"/>
  <c r="D46" i="4"/>
  <c r="B46" i="4"/>
  <c r="E46" i="4"/>
  <c r="F46" i="4"/>
  <c r="C47" i="4"/>
  <c r="D47" i="4"/>
  <c r="B47" i="4"/>
  <c r="E47" i="4"/>
  <c r="F47" i="4"/>
  <c r="C48" i="4"/>
  <c r="D48" i="4"/>
  <c r="B48" i="4"/>
  <c r="E48" i="4"/>
  <c r="F48" i="4"/>
  <c r="C49" i="4"/>
  <c r="D49" i="4"/>
  <c r="B49" i="4"/>
  <c r="E49" i="4"/>
  <c r="F49" i="4"/>
  <c r="C50" i="4"/>
  <c r="D50" i="4"/>
  <c r="B50" i="4"/>
  <c r="E50" i="4"/>
  <c r="F50" i="4"/>
  <c r="C51" i="4"/>
  <c r="D51" i="4"/>
  <c r="B51" i="4"/>
  <c r="E51" i="4"/>
  <c r="F51" i="4"/>
  <c r="C52" i="4"/>
  <c r="D52" i="4"/>
  <c r="B52" i="4"/>
  <c r="E52" i="4"/>
  <c r="F52" i="4"/>
  <c r="C53" i="4"/>
  <c r="D53" i="4"/>
  <c r="B53" i="4"/>
  <c r="E53" i="4"/>
  <c r="F53" i="4"/>
  <c r="C54" i="4"/>
  <c r="D54" i="4"/>
  <c r="B54" i="4"/>
  <c r="E54" i="4"/>
  <c r="F54" i="4"/>
  <c r="C55" i="4"/>
  <c r="D55" i="4"/>
  <c r="B55" i="4"/>
  <c r="E55" i="4"/>
  <c r="F55" i="4"/>
  <c r="C56" i="4"/>
  <c r="D56" i="4"/>
  <c r="B56" i="4"/>
  <c r="E56" i="4"/>
  <c r="F56" i="4"/>
  <c r="C57" i="4"/>
  <c r="D57" i="4"/>
  <c r="B57" i="4"/>
  <c r="E57" i="4"/>
  <c r="F57" i="4"/>
  <c r="C58" i="4"/>
  <c r="D58" i="4"/>
  <c r="B58" i="4"/>
  <c r="E58" i="4"/>
  <c r="F58" i="4"/>
  <c r="C59" i="4"/>
  <c r="D59" i="4"/>
  <c r="B59" i="4"/>
  <c r="E59" i="4"/>
  <c r="F59" i="4"/>
  <c r="C60" i="4"/>
  <c r="D60" i="4"/>
  <c r="B60" i="4"/>
  <c r="E60" i="4"/>
  <c r="F60" i="4"/>
  <c r="C61" i="4"/>
  <c r="D61" i="4"/>
  <c r="B61" i="4"/>
  <c r="E61" i="4"/>
  <c r="F61" i="4"/>
  <c r="C62" i="4"/>
  <c r="D62" i="4"/>
  <c r="B62" i="4"/>
  <c r="E62" i="4"/>
  <c r="F62" i="4"/>
  <c r="C63" i="4"/>
  <c r="D63" i="4"/>
  <c r="B63" i="4"/>
  <c r="E63" i="4"/>
  <c r="F63" i="4"/>
  <c r="C64" i="4"/>
  <c r="D64" i="4"/>
  <c r="B64" i="4"/>
  <c r="E64" i="4"/>
  <c r="F64" i="4"/>
  <c r="C65" i="4"/>
  <c r="D65" i="4"/>
  <c r="B65" i="4"/>
  <c r="E65" i="4"/>
  <c r="F65" i="4"/>
  <c r="C66" i="4"/>
  <c r="D66" i="4"/>
  <c r="B66" i="4"/>
  <c r="E66" i="4"/>
  <c r="F66" i="4"/>
  <c r="C67" i="4"/>
  <c r="D67" i="4"/>
  <c r="B67" i="4"/>
  <c r="E67" i="4"/>
  <c r="F67" i="4"/>
  <c r="C68" i="4"/>
  <c r="D68" i="4"/>
  <c r="B68" i="4"/>
  <c r="E68" i="4"/>
  <c r="F68" i="4"/>
  <c r="C69" i="4"/>
  <c r="D69" i="4"/>
  <c r="B69" i="4"/>
  <c r="E69" i="4"/>
  <c r="F69" i="4"/>
  <c r="C70" i="4"/>
  <c r="D70" i="4"/>
  <c r="B70" i="4"/>
  <c r="E70" i="4"/>
  <c r="F70" i="4"/>
  <c r="C71" i="4"/>
  <c r="D71" i="4"/>
  <c r="B71" i="4"/>
  <c r="E71" i="4"/>
  <c r="F71" i="4"/>
  <c r="C72" i="4"/>
  <c r="D72" i="4"/>
  <c r="B72" i="4"/>
  <c r="E72" i="4"/>
  <c r="F72" i="4"/>
  <c r="C73" i="4"/>
  <c r="D73" i="4"/>
  <c r="B73" i="4"/>
  <c r="E73" i="4"/>
  <c r="F73" i="4"/>
  <c r="C74" i="4"/>
  <c r="D74" i="4"/>
  <c r="B74" i="4"/>
  <c r="E74" i="4"/>
  <c r="F74" i="4"/>
  <c r="C75" i="4"/>
  <c r="D75" i="4"/>
  <c r="B75" i="4"/>
  <c r="E75" i="4"/>
  <c r="F75" i="4"/>
  <c r="C76" i="4"/>
  <c r="D76" i="4"/>
  <c r="B76" i="4"/>
  <c r="E76" i="4"/>
  <c r="F76" i="4"/>
  <c r="C77" i="4"/>
  <c r="D77" i="4"/>
  <c r="B77" i="4"/>
  <c r="E77" i="4"/>
  <c r="F77" i="4"/>
  <c r="C78" i="4"/>
  <c r="D78" i="4"/>
  <c r="B78" i="4"/>
  <c r="E78" i="4"/>
  <c r="F78" i="4"/>
  <c r="C79" i="4"/>
  <c r="D79" i="4"/>
  <c r="B79" i="4"/>
  <c r="E79" i="4"/>
  <c r="F79" i="4"/>
  <c r="C80" i="4"/>
  <c r="D80" i="4"/>
  <c r="B80" i="4"/>
  <c r="E80" i="4"/>
  <c r="F80" i="4"/>
  <c r="C81" i="4"/>
  <c r="D81" i="4"/>
  <c r="B81" i="4"/>
  <c r="E81" i="4"/>
  <c r="F81" i="4"/>
  <c r="C82" i="4"/>
  <c r="D82" i="4"/>
  <c r="B82" i="4"/>
  <c r="E82" i="4"/>
  <c r="F82" i="4"/>
  <c r="C83" i="4"/>
  <c r="D83" i="4"/>
  <c r="B83" i="4"/>
  <c r="E83" i="4"/>
  <c r="F83" i="4"/>
  <c r="C84" i="4"/>
  <c r="D84" i="4"/>
  <c r="B84" i="4"/>
  <c r="E84" i="4"/>
  <c r="F84" i="4"/>
  <c r="C85" i="4"/>
  <c r="D85" i="4"/>
  <c r="B85" i="4"/>
  <c r="E85" i="4"/>
  <c r="F85" i="4"/>
  <c r="C86" i="4"/>
  <c r="D86" i="4"/>
  <c r="B86" i="4"/>
  <c r="E86" i="4"/>
  <c r="F86" i="4"/>
  <c r="C87" i="4"/>
  <c r="D87" i="4"/>
  <c r="B87" i="4"/>
  <c r="E87" i="4"/>
  <c r="F87" i="4"/>
  <c r="C88" i="4"/>
  <c r="D88" i="4"/>
  <c r="B88" i="4"/>
  <c r="E88" i="4"/>
  <c r="F88" i="4"/>
  <c r="C89" i="4"/>
  <c r="D89" i="4"/>
  <c r="B89" i="4"/>
  <c r="E89" i="4"/>
  <c r="F89" i="4"/>
  <c r="C90" i="4"/>
  <c r="D90" i="4"/>
  <c r="B90" i="4"/>
  <c r="E90" i="4"/>
  <c r="F90" i="4"/>
  <c r="C91" i="4"/>
  <c r="D91" i="4"/>
  <c r="B91" i="4"/>
  <c r="E91" i="4"/>
  <c r="F91" i="4"/>
  <c r="C92" i="4"/>
  <c r="D92" i="4"/>
  <c r="B92" i="4"/>
  <c r="E92" i="4"/>
  <c r="F92" i="4"/>
  <c r="C93" i="4"/>
  <c r="D93" i="4"/>
  <c r="B93" i="4"/>
  <c r="E93" i="4"/>
  <c r="F93" i="4"/>
  <c r="C94" i="4"/>
  <c r="D94" i="4"/>
  <c r="B94" i="4"/>
  <c r="E94" i="4"/>
  <c r="F94" i="4"/>
  <c r="C95" i="4"/>
  <c r="D95" i="4"/>
  <c r="B95" i="4"/>
  <c r="E95" i="4"/>
  <c r="F95" i="4"/>
  <c r="C96" i="4"/>
  <c r="D96" i="4"/>
  <c r="B96" i="4"/>
  <c r="E96" i="4"/>
  <c r="F96" i="4"/>
  <c r="C97" i="4"/>
  <c r="D97" i="4"/>
  <c r="B97" i="4"/>
  <c r="E97" i="4"/>
  <c r="F97" i="4"/>
  <c r="C98" i="4"/>
  <c r="D98" i="4"/>
  <c r="B98" i="4"/>
  <c r="E98" i="4"/>
  <c r="F98" i="4"/>
  <c r="C99" i="4"/>
  <c r="D99" i="4"/>
  <c r="B99" i="4"/>
  <c r="E99" i="4"/>
  <c r="F99" i="4"/>
  <c r="C100" i="4"/>
  <c r="D100" i="4"/>
  <c r="B100" i="4"/>
  <c r="E100" i="4"/>
  <c r="F100" i="4"/>
  <c r="C101" i="4"/>
  <c r="D101" i="4"/>
  <c r="B101" i="4"/>
  <c r="E101" i="4"/>
  <c r="F101" i="4"/>
  <c r="C102" i="4"/>
  <c r="D102" i="4"/>
  <c r="B102" i="4"/>
  <c r="E102" i="4"/>
  <c r="F102" i="4"/>
  <c r="C103" i="4"/>
  <c r="D103" i="4"/>
  <c r="B103" i="4"/>
  <c r="E103" i="4"/>
  <c r="F103" i="4"/>
  <c r="C104" i="4"/>
  <c r="D104" i="4"/>
  <c r="B104" i="4"/>
  <c r="E104" i="4"/>
  <c r="F104" i="4"/>
  <c r="C105" i="4"/>
  <c r="D105" i="4"/>
  <c r="B105" i="4"/>
  <c r="E105" i="4"/>
  <c r="F105" i="4"/>
  <c r="C106" i="4"/>
  <c r="D106" i="4"/>
  <c r="B106" i="4"/>
  <c r="E106" i="4"/>
  <c r="F106" i="4"/>
  <c r="C107" i="4"/>
  <c r="D107" i="4"/>
  <c r="B107" i="4"/>
  <c r="E107" i="4"/>
  <c r="F107" i="4"/>
  <c r="C108" i="4"/>
  <c r="D108" i="4"/>
  <c r="B108" i="4"/>
  <c r="E108" i="4"/>
  <c r="F108" i="4"/>
  <c r="C109" i="4"/>
  <c r="D109" i="4"/>
  <c r="B109" i="4"/>
  <c r="E109" i="4"/>
  <c r="F109" i="4"/>
  <c r="C110" i="4"/>
  <c r="D110" i="4"/>
  <c r="B110" i="4"/>
  <c r="E110" i="4"/>
  <c r="F110" i="4"/>
  <c r="C111" i="4"/>
  <c r="D111" i="4"/>
  <c r="B111" i="4"/>
  <c r="E111" i="4"/>
  <c r="F111" i="4"/>
  <c r="C112" i="4"/>
  <c r="D112" i="4"/>
  <c r="B112" i="4"/>
  <c r="E112" i="4"/>
  <c r="F112" i="4"/>
  <c r="C113" i="4"/>
  <c r="D113" i="4"/>
  <c r="B113" i="4"/>
  <c r="E113" i="4"/>
  <c r="F113" i="4"/>
  <c r="C114" i="4"/>
  <c r="D114" i="4"/>
  <c r="B114" i="4"/>
  <c r="E114" i="4"/>
  <c r="F114" i="4"/>
  <c r="C115" i="4"/>
  <c r="D115" i="4"/>
  <c r="B115" i="4"/>
  <c r="E115" i="4"/>
  <c r="F115" i="4"/>
  <c r="C116" i="4"/>
  <c r="D116" i="4"/>
  <c r="B116" i="4"/>
  <c r="E116" i="4"/>
  <c r="F116" i="4"/>
  <c r="C117" i="4"/>
  <c r="D117" i="4"/>
  <c r="B117" i="4"/>
  <c r="E117" i="4"/>
  <c r="F117" i="4"/>
  <c r="C118" i="4"/>
  <c r="D118" i="4"/>
  <c r="B118" i="4"/>
  <c r="E118" i="4"/>
  <c r="F118" i="4"/>
  <c r="C119" i="4"/>
  <c r="D119" i="4"/>
  <c r="B119" i="4"/>
  <c r="E119" i="4"/>
  <c r="F119" i="4"/>
  <c r="C120" i="4"/>
  <c r="D120" i="4"/>
  <c r="B120" i="4"/>
  <c r="E120" i="4"/>
  <c r="F120" i="4"/>
  <c r="C121" i="4"/>
  <c r="D121" i="4"/>
  <c r="B121" i="4"/>
  <c r="E121" i="4"/>
  <c r="F121" i="4"/>
  <c r="C122" i="4"/>
  <c r="D122" i="4"/>
  <c r="B122" i="4"/>
  <c r="E122" i="4"/>
  <c r="F122" i="4"/>
  <c r="C123" i="4"/>
  <c r="D123" i="4"/>
  <c r="B123" i="4"/>
  <c r="E123" i="4"/>
  <c r="F123" i="4"/>
  <c r="C124" i="4"/>
  <c r="D124" i="4"/>
  <c r="B124" i="4"/>
  <c r="E124" i="4"/>
  <c r="F124" i="4"/>
  <c r="C125" i="4"/>
  <c r="D125" i="4"/>
  <c r="B125" i="4"/>
  <c r="E125" i="4"/>
  <c r="F125" i="4"/>
  <c r="C126" i="4"/>
  <c r="D126" i="4"/>
  <c r="B126" i="4"/>
  <c r="E126" i="4"/>
  <c r="F126" i="4"/>
  <c r="C127" i="4"/>
  <c r="D127" i="4"/>
  <c r="B127" i="4"/>
  <c r="E127" i="4"/>
  <c r="F127" i="4"/>
  <c r="C128" i="4"/>
  <c r="D128" i="4"/>
  <c r="B128" i="4"/>
  <c r="E128" i="4"/>
  <c r="F128" i="4"/>
  <c r="C129" i="4"/>
  <c r="D129" i="4"/>
  <c r="B129" i="4"/>
  <c r="E129" i="4"/>
  <c r="F129" i="4"/>
  <c r="C130" i="4"/>
  <c r="D130" i="4"/>
  <c r="B130" i="4"/>
  <c r="E130" i="4"/>
  <c r="F130" i="4"/>
  <c r="C131" i="4"/>
  <c r="D131" i="4"/>
  <c r="B131" i="4"/>
  <c r="E131" i="4"/>
  <c r="F131" i="4"/>
  <c r="C132" i="4"/>
  <c r="D132" i="4"/>
  <c r="B132" i="4"/>
  <c r="E132" i="4"/>
  <c r="F132" i="4"/>
  <c r="C133" i="4"/>
  <c r="D133" i="4"/>
  <c r="B133" i="4"/>
  <c r="E133" i="4"/>
  <c r="F133" i="4"/>
  <c r="C134" i="4"/>
  <c r="D134" i="4"/>
  <c r="B134" i="4"/>
  <c r="E134" i="4"/>
  <c r="F134" i="4"/>
  <c r="C135" i="4"/>
  <c r="D135" i="4"/>
  <c r="B135" i="4"/>
  <c r="E135" i="4"/>
  <c r="F135" i="4"/>
  <c r="C136" i="4"/>
  <c r="D136" i="4"/>
  <c r="B136" i="4"/>
  <c r="E136" i="4"/>
  <c r="F136" i="4"/>
  <c r="C137" i="4"/>
  <c r="D137" i="4"/>
  <c r="B137" i="4"/>
  <c r="E137" i="4"/>
  <c r="F137" i="4"/>
  <c r="C138" i="4"/>
  <c r="D138" i="4"/>
  <c r="B138" i="4"/>
  <c r="E138" i="4"/>
  <c r="F138" i="4"/>
  <c r="C139" i="4"/>
  <c r="D139" i="4"/>
  <c r="B139" i="4"/>
  <c r="E139" i="4"/>
  <c r="F139" i="4"/>
  <c r="C140" i="4"/>
  <c r="D140" i="4"/>
  <c r="B140" i="4"/>
  <c r="E140" i="4"/>
  <c r="F140" i="4"/>
  <c r="C141" i="4"/>
  <c r="D141" i="4"/>
  <c r="B141" i="4"/>
  <c r="E141" i="4"/>
  <c r="F141" i="4"/>
  <c r="C142" i="4"/>
  <c r="D142" i="4"/>
  <c r="B142" i="4"/>
  <c r="E142" i="4"/>
  <c r="F142" i="4"/>
  <c r="C143" i="4"/>
  <c r="D143" i="4"/>
  <c r="B143" i="4"/>
  <c r="E143" i="4"/>
  <c r="F143" i="4"/>
  <c r="C144" i="4"/>
  <c r="D144" i="4"/>
  <c r="B144" i="4"/>
  <c r="E144" i="4"/>
  <c r="F144" i="4"/>
  <c r="C145" i="4"/>
  <c r="D145" i="4"/>
  <c r="B145" i="4"/>
  <c r="E145" i="4"/>
  <c r="F145" i="4"/>
  <c r="C146" i="4"/>
  <c r="D146" i="4"/>
  <c r="B146" i="4"/>
  <c r="E146" i="4"/>
  <c r="F146" i="4"/>
  <c r="C147" i="4"/>
  <c r="D147" i="4"/>
  <c r="B147" i="4"/>
  <c r="E147" i="4"/>
  <c r="F147" i="4"/>
  <c r="C148" i="4"/>
  <c r="D148" i="4"/>
  <c r="B148" i="4"/>
  <c r="E148" i="4"/>
  <c r="F148" i="4"/>
  <c r="C149" i="4"/>
  <c r="D149" i="4"/>
  <c r="B149" i="4"/>
  <c r="E149" i="4"/>
  <c r="F149" i="4"/>
  <c r="C150" i="4"/>
  <c r="D150" i="4"/>
  <c r="B150" i="4"/>
  <c r="E150" i="4"/>
  <c r="F150" i="4"/>
  <c r="C151" i="4"/>
  <c r="D151" i="4"/>
  <c r="B151" i="4"/>
  <c r="E151" i="4"/>
  <c r="F151" i="4"/>
  <c r="C152" i="4"/>
  <c r="D152" i="4"/>
  <c r="B152" i="4"/>
  <c r="E152" i="4"/>
  <c r="F152" i="4"/>
  <c r="C153" i="4"/>
  <c r="D153" i="4"/>
  <c r="B153" i="4"/>
  <c r="E153" i="4"/>
  <c r="F153" i="4"/>
  <c r="C154" i="4"/>
  <c r="D154" i="4"/>
  <c r="B154" i="4"/>
  <c r="E154" i="4"/>
  <c r="F154" i="4"/>
  <c r="C155" i="4"/>
  <c r="D155" i="4"/>
  <c r="B155" i="4"/>
  <c r="E155" i="4"/>
  <c r="F155" i="4"/>
  <c r="C156" i="4"/>
  <c r="D156" i="4"/>
  <c r="B156" i="4"/>
  <c r="E156" i="4"/>
  <c r="F156" i="4"/>
  <c r="C157" i="4"/>
  <c r="D157" i="4"/>
  <c r="B157" i="4"/>
  <c r="E157" i="4"/>
  <c r="F157" i="4"/>
  <c r="C158" i="4"/>
  <c r="D158" i="4"/>
  <c r="B158" i="4"/>
  <c r="E158" i="4"/>
  <c r="F158" i="4"/>
  <c r="C159" i="4"/>
  <c r="D159" i="4"/>
  <c r="B159" i="4"/>
  <c r="E159" i="4"/>
  <c r="F159" i="4"/>
  <c r="C160" i="4"/>
  <c r="D160" i="4"/>
  <c r="B160" i="4"/>
  <c r="E160" i="4"/>
  <c r="F160" i="4"/>
  <c r="C161" i="4"/>
  <c r="D161" i="4"/>
  <c r="B161" i="4"/>
  <c r="E161" i="4"/>
  <c r="F161" i="4"/>
  <c r="C162" i="4"/>
  <c r="D162" i="4"/>
  <c r="B162" i="4"/>
  <c r="E162" i="4"/>
  <c r="F162" i="4"/>
  <c r="C163" i="4"/>
  <c r="D163" i="4"/>
  <c r="B163" i="4"/>
  <c r="E163" i="4"/>
  <c r="F163" i="4"/>
  <c r="C164" i="4"/>
  <c r="D164" i="4"/>
  <c r="B164" i="4"/>
  <c r="E164" i="4"/>
  <c r="F164" i="4"/>
  <c r="C165" i="4"/>
  <c r="D165" i="4"/>
  <c r="B165" i="4"/>
  <c r="E165" i="4"/>
  <c r="F165" i="4"/>
  <c r="C166" i="4"/>
  <c r="D166" i="4"/>
  <c r="B166" i="4"/>
  <c r="E166" i="4"/>
  <c r="F166" i="4"/>
  <c r="C167" i="4"/>
  <c r="D167" i="4"/>
  <c r="B167" i="4"/>
  <c r="E167" i="4"/>
  <c r="F167" i="4"/>
  <c r="C168" i="4"/>
  <c r="D168" i="4"/>
  <c r="B168" i="4"/>
  <c r="E168" i="4"/>
  <c r="F168" i="4"/>
  <c r="C169" i="4"/>
  <c r="D169" i="4"/>
  <c r="B169" i="4"/>
  <c r="E169" i="4"/>
  <c r="F169" i="4"/>
  <c r="C170" i="4"/>
  <c r="D170" i="4"/>
  <c r="B170" i="4"/>
  <c r="E170" i="4"/>
  <c r="F170" i="4"/>
  <c r="C171" i="4"/>
  <c r="D171" i="4"/>
  <c r="B171" i="4"/>
  <c r="E171" i="4"/>
  <c r="F171" i="4"/>
  <c r="C172" i="4"/>
  <c r="D172" i="4"/>
  <c r="B172" i="4"/>
  <c r="E172" i="4"/>
  <c r="F172" i="4"/>
  <c r="C173" i="4"/>
  <c r="D173" i="4"/>
  <c r="B173" i="4"/>
  <c r="E173" i="4"/>
  <c r="F173" i="4"/>
  <c r="C174" i="4"/>
  <c r="D174" i="4"/>
  <c r="B174" i="4"/>
  <c r="E174" i="4"/>
  <c r="F174" i="4"/>
  <c r="C175" i="4"/>
  <c r="D175" i="4"/>
  <c r="B175" i="4"/>
  <c r="E175" i="4"/>
  <c r="F175" i="4"/>
  <c r="C176" i="4"/>
  <c r="D176" i="4"/>
  <c r="B176" i="4"/>
  <c r="E176" i="4"/>
  <c r="F176" i="4"/>
  <c r="C177" i="4"/>
  <c r="D177" i="4"/>
  <c r="B177" i="4"/>
  <c r="E177" i="4"/>
  <c r="F177" i="4"/>
  <c r="C178" i="4"/>
  <c r="D178" i="4"/>
  <c r="B178" i="4"/>
  <c r="E178" i="4"/>
  <c r="F178" i="4"/>
  <c r="C179" i="4"/>
  <c r="D179" i="4"/>
  <c r="B179" i="4"/>
  <c r="E179" i="4"/>
  <c r="F179" i="4"/>
  <c r="C180" i="4"/>
  <c r="D180" i="4"/>
  <c r="B180" i="4"/>
  <c r="E180" i="4"/>
  <c r="F180" i="4"/>
  <c r="C181" i="4"/>
  <c r="D181" i="4"/>
  <c r="B181" i="4"/>
  <c r="E181" i="4"/>
  <c r="F181" i="4"/>
  <c r="C182" i="4"/>
  <c r="D182" i="4"/>
  <c r="B182" i="4"/>
  <c r="E182" i="4"/>
  <c r="F182" i="4"/>
  <c r="C183" i="4"/>
  <c r="D183" i="4"/>
  <c r="B183" i="4"/>
  <c r="E183" i="4"/>
  <c r="F183" i="4"/>
  <c r="C184" i="4"/>
  <c r="D184" i="4"/>
  <c r="B184" i="4"/>
  <c r="E184" i="4"/>
  <c r="F184" i="4"/>
  <c r="C185" i="4"/>
  <c r="D185" i="4"/>
  <c r="B185" i="4"/>
  <c r="E185" i="4"/>
  <c r="F185" i="4"/>
  <c r="C186" i="4"/>
  <c r="D186" i="4"/>
  <c r="B186" i="4"/>
  <c r="E186" i="4"/>
  <c r="F186" i="4"/>
  <c r="C187" i="4"/>
  <c r="D187" i="4"/>
  <c r="B187" i="4"/>
  <c r="E187" i="4"/>
  <c r="F187" i="4"/>
  <c r="C188" i="4"/>
  <c r="D188" i="4"/>
  <c r="B188" i="4"/>
  <c r="E188" i="4"/>
  <c r="F188" i="4"/>
  <c r="C189" i="4"/>
  <c r="D189" i="4"/>
  <c r="B189" i="4"/>
  <c r="E189" i="4"/>
  <c r="F189" i="4"/>
  <c r="C190" i="4"/>
  <c r="D190" i="4"/>
  <c r="B190" i="4"/>
  <c r="E190" i="4"/>
  <c r="F190" i="4"/>
  <c r="C191" i="4"/>
  <c r="D191" i="4"/>
  <c r="B191" i="4"/>
  <c r="E191" i="4"/>
  <c r="F191" i="4"/>
  <c r="C192" i="4"/>
  <c r="D192" i="4"/>
  <c r="B192" i="4"/>
  <c r="E192" i="4"/>
  <c r="F192" i="4"/>
  <c r="C193" i="4"/>
  <c r="D193" i="4"/>
  <c r="B193" i="4"/>
  <c r="E193" i="4"/>
  <c r="F193" i="4"/>
  <c r="C194" i="4"/>
  <c r="D194" i="4"/>
  <c r="B194" i="4"/>
  <c r="E194" i="4"/>
  <c r="F194" i="4"/>
  <c r="C195" i="4"/>
  <c r="D195" i="4"/>
  <c r="B195" i="4"/>
  <c r="E195" i="4"/>
  <c r="F195" i="4"/>
  <c r="C196" i="4"/>
  <c r="D196" i="4"/>
  <c r="B196" i="4"/>
  <c r="E196" i="4"/>
  <c r="F196" i="4"/>
  <c r="C197" i="4"/>
  <c r="D197" i="4"/>
  <c r="B197" i="4"/>
  <c r="E197" i="4"/>
  <c r="F197" i="4"/>
  <c r="C198" i="4"/>
  <c r="D198" i="4"/>
  <c r="B198" i="4"/>
  <c r="E198" i="4"/>
  <c r="F198" i="4"/>
  <c r="C199" i="4"/>
  <c r="D199" i="4"/>
  <c r="B199" i="4"/>
  <c r="E199" i="4"/>
  <c r="F199" i="4"/>
  <c r="C200" i="4"/>
  <c r="D200" i="4"/>
  <c r="B200" i="4"/>
  <c r="E200" i="4"/>
  <c r="F200" i="4"/>
  <c r="C201" i="4"/>
  <c r="D201" i="4"/>
  <c r="B201" i="4"/>
  <c r="E201" i="4"/>
  <c r="F201" i="4"/>
  <c r="C202" i="4"/>
  <c r="D202" i="4"/>
  <c r="B202" i="4"/>
  <c r="E202" i="4"/>
  <c r="F202" i="4"/>
  <c r="C203" i="4"/>
  <c r="D203" i="4"/>
  <c r="B203" i="4"/>
  <c r="E203" i="4"/>
  <c r="F203" i="4"/>
  <c r="C204" i="4"/>
  <c r="D204" i="4"/>
  <c r="B204" i="4"/>
  <c r="E204" i="4"/>
  <c r="F204" i="4"/>
  <c r="C205" i="4"/>
  <c r="D205" i="4"/>
  <c r="B205" i="4"/>
  <c r="E205" i="4"/>
  <c r="F205" i="4"/>
  <c r="C206" i="4"/>
  <c r="D206" i="4"/>
  <c r="B206" i="4"/>
  <c r="E206" i="4"/>
  <c r="F206" i="4"/>
  <c r="C207" i="4"/>
  <c r="D207" i="4"/>
  <c r="B207" i="4"/>
  <c r="E207" i="4"/>
  <c r="F207" i="4"/>
  <c r="C208" i="4"/>
  <c r="D208" i="4"/>
  <c r="B208" i="4"/>
  <c r="E208" i="4"/>
  <c r="F208" i="4"/>
  <c r="C209" i="4"/>
  <c r="D209" i="4"/>
  <c r="B209" i="4"/>
  <c r="E209" i="4"/>
  <c r="F209" i="4"/>
  <c r="C210" i="4"/>
  <c r="D210" i="4"/>
  <c r="B210" i="4"/>
  <c r="E210" i="4"/>
  <c r="F210" i="4"/>
  <c r="C211" i="4"/>
  <c r="D211" i="4"/>
  <c r="B211" i="4"/>
  <c r="E211" i="4"/>
  <c r="F211" i="4"/>
  <c r="C212" i="4"/>
  <c r="D212" i="4"/>
  <c r="B212" i="4"/>
  <c r="E212" i="4"/>
  <c r="F212" i="4"/>
  <c r="C213" i="4"/>
  <c r="D213" i="4"/>
  <c r="B213" i="4"/>
  <c r="E213" i="4"/>
  <c r="F213" i="4"/>
  <c r="C214" i="4"/>
  <c r="D214" i="4"/>
  <c r="B214" i="4"/>
  <c r="E214" i="4"/>
  <c r="F214" i="4"/>
  <c r="C215" i="4"/>
  <c r="D215" i="4"/>
  <c r="B215" i="4"/>
  <c r="E215" i="4"/>
  <c r="F215" i="4"/>
  <c r="C216" i="4"/>
  <c r="D216" i="4"/>
  <c r="B216" i="4"/>
  <c r="E216" i="4"/>
  <c r="F216" i="4"/>
  <c r="C217" i="4"/>
  <c r="D217" i="4"/>
  <c r="B217" i="4"/>
  <c r="E217" i="4"/>
  <c r="F217" i="4"/>
  <c r="C218" i="4"/>
  <c r="D218" i="4"/>
  <c r="B218" i="4"/>
  <c r="E218" i="4"/>
  <c r="F218" i="4"/>
  <c r="C219" i="4"/>
  <c r="D219" i="4"/>
  <c r="B219" i="4"/>
  <c r="E219" i="4"/>
  <c r="F219" i="4"/>
  <c r="C220" i="4"/>
  <c r="D220" i="4"/>
  <c r="B220" i="4"/>
  <c r="E220" i="4"/>
  <c r="F220" i="4"/>
  <c r="C221" i="4"/>
  <c r="D221" i="4"/>
  <c r="B221" i="4"/>
  <c r="E221" i="4"/>
  <c r="F221" i="4"/>
  <c r="C222" i="4"/>
  <c r="D222" i="4"/>
  <c r="B222" i="4"/>
  <c r="E222" i="4"/>
  <c r="F222" i="4"/>
  <c r="C223" i="4"/>
  <c r="D223" i="4"/>
  <c r="B223" i="4"/>
  <c r="E223" i="4"/>
  <c r="F223" i="4"/>
  <c r="C224" i="4"/>
  <c r="D224" i="4"/>
  <c r="B224" i="4"/>
  <c r="E224" i="4"/>
  <c r="F224" i="4"/>
  <c r="C225" i="4"/>
  <c r="D225" i="4"/>
  <c r="B225" i="4"/>
  <c r="E225" i="4"/>
  <c r="F225" i="4"/>
  <c r="C226" i="4"/>
  <c r="D226" i="4"/>
  <c r="B226" i="4"/>
  <c r="E226" i="4"/>
  <c r="F226" i="4"/>
  <c r="C227" i="4"/>
  <c r="D227" i="4"/>
  <c r="B227" i="4"/>
  <c r="E227" i="4"/>
  <c r="F227" i="4"/>
  <c r="C228" i="4"/>
  <c r="D228" i="4"/>
  <c r="B228" i="4"/>
  <c r="E228" i="4"/>
  <c r="F228" i="4"/>
  <c r="C229" i="4"/>
  <c r="D229" i="4"/>
  <c r="B229" i="4"/>
  <c r="E229" i="4"/>
  <c r="F229" i="4"/>
  <c r="C230" i="4"/>
  <c r="D230" i="4"/>
  <c r="B230" i="4"/>
  <c r="E230" i="4"/>
  <c r="F230" i="4"/>
  <c r="C231" i="4"/>
  <c r="D231" i="4"/>
  <c r="B231" i="4"/>
  <c r="E231" i="4"/>
  <c r="F231" i="4"/>
  <c r="C232" i="4"/>
  <c r="D232" i="4"/>
  <c r="B232" i="4"/>
  <c r="E232" i="4"/>
  <c r="F232" i="4"/>
  <c r="C233" i="4"/>
  <c r="D233" i="4"/>
  <c r="B233" i="4"/>
  <c r="E233" i="4"/>
  <c r="F233" i="4"/>
  <c r="C234" i="4"/>
  <c r="D234" i="4"/>
  <c r="B234" i="4"/>
  <c r="E234" i="4"/>
  <c r="F234" i="4"/>
  <c r="C235" i="4"/>
  <c r="D235" i="4"/>
  <c r="B235" i="4"/>
  <c r="E235" i="4"/>
  <c r="F235" i="4"/>
  <c r="C236" i="4"/>
  <c r="D236" i="4"/>
  <c r="B236" i="4"/>
  <c r="E236" i="4"/>
  <c r="F236" i="4"/>
  <c r="C237" i="4"/>
  <c r="D237" i="4"/>
  <c r="B237" i="4"/>
  <c r="E237" i="4"/>
  <c r="F237" i="4"/>
  <c r="C238" i="4"/>
  <c r="D238" i="4"/>
  <c r="B238" i="4"/>
  <c r="E238" i="4"/>
  <c r="F238" i="4"/>
  <c r="C239" i="4"/>
  <c r="D239" i="4"/>
  <c r="B239" i="4"/>
  <c r="E239" i="4"/>
  <c r="F239" i="4"/>
  <c r="C240" i="4"/>
  <c r="D240" i="4"/>
  <c r="B240" i="4"/>
  <c r="E240" i="4"/>
  <c r="F240" i="4"/>
  <c r="C241" i="4"/>
  <c r="D241" i="4"/>
  <c r="B241" i="4"/>
  <c r="E241" i="4"/>
  <c r="F241" i="4"/>
  <c r="C242" i="4"/>
  <c r="D242" i="4"/>
  <c r="B242" i="4"/>
  <c r="E242" i="4"/>
  <c r="F242" i="4"/>
  <c r="C243" i="4"/>
  <c r="D243" i="4"/>
  <c r="B243" i="4"/>
  <c r="E243" i="4"/>
  <c r="F243" i="4"/>
  <c r="C244" i="4"/>
  <c r="D244" i="4"/>
  <c r="B244" i="4"/>
  <c r="E244" i="4"/>
  <c r="F244" i="4"/>
  <c r="C245" i="4"/>
  <c r="D245" i="4"/>
  <c r="B245" i="4"/>
  <c r="E245" i="4"/>
  <c r="F245" i="4"/>
  <c r="C246" i="4"/>
  <c r="D246" i="4"/>
  <c r="B246" i="4"/>
  <c r="E246" i="4"/>
  <c r="F246" i="4"/>
  <c r="C247" i="4"/>
  <c r="D247" i="4"/>
  <c r="B247" i="4"/>
  <c r="E247" i="4"/>
  <c r="F247" i="4"/>
  <c r="C248" i="4"/>
  <c r="D248" i="4"/>
  <c r="B248" i="4"/>
  <c r="E248" i="4"/>
  <c r="F248" i="4"/>
  <c r="C249" i="4"/>
  <c r="D249" i="4"/>
  <c r="B249" i="4"/>
  <c r="E249" i="4"/>
  <c r="F249" i="4"/>
  <c r="C250" i="4"/>
  <c r="D250" i="4"/>
  <c r="B250" i="4"/>
  <c r="E250" i="4"/>
  <c r="F250" i="4"/>
  <c r="C251" i="4"/>
  <c r="D251" i="4"/>
  <c r="B251" i="4"/>
  <c r="E251" i="4"/>
  <c r="F251" i="4"/>
  <c r="C252" i="4"/>
  <c r="D252" i="4"/>
  <c r="B252" i="4"/>
  <c r="E252" i="4"/>
  <c r="F252" i="4"/>
  <c r="C253" i="4"/>
  <c r="D253" i="4"/>
  <c r="B253" i="4"/>
  <c r="E253" i="4"/>
  <c r="F253" i="4"/>
  <c r="C254" i="4"/>
  <c r="D254" i="4"/>
  <c r="B254" i="4"/>
  <c r="E254" i="4"/>
  <c r="F254" i="4"/>
  <c r="C255" i="4"/>
  <c r="D255" i="4"/>
  <c r="B255" i="4"/>
  <c r="E255" i="4"/>
  <c r="F255" i="4"/>
  <c r="C256" i="4"/>
  <c r="D256" i="4"/>
  <c r="B256" i="4"/>
  <c r="E256" i="4"/>
  <c r="F256" i="4"/>
  <c r="C257" i="4"/>
  <c r="D257" i="4"/>
  <c r="B257" i="4"/>
  <c r="E257" i="4"/>
  <c r="F257" i="4"/>
  <c r="C258" i="4"/>
  <c r="D258" i="4"/>
  <c r="B258" i="4"/>
  <c r="E258" i="4"/>
  <c r="F258" i="4"/>
  <c r="C259" i="4"/>
  <c r="D259" i="4"/>
  <c r="B259" i="4"/>
  <c r="E259" i="4"/>
  <c r="F259" i="4"/>
  <c r="C260" i="4"/>
  <c r="D260" i="4"/>
  <c r="B260" i="4"/>
  <c r="E260" i="4"/>
  <c r="F260" i="4"/>
  <c r="C261" i="4"/>
  <c r="D261" i="4"/>
  <c r="B261" i="4"/>
  <c r="E261" i="4"/>
  <c r="F261" i="4"/>
  <c r="C262" i="4"/>
  <c r="D262" i="4"/>
  <c r="B262" i="4"/>
  <c r="E262" i="4"/>
  <c r="F262" i="4"/>
  <c r="C263" i="4"/>
  <c r="D263" i="4"/>
  <c r="B263" i="4"/>
  <c r="E263" i="4"/>
  <c r="F263" i="4"/>
  <c r="C264" i="4"/>
  <c r="D264" i="4"/>
  <c r="B264" i="4"/>
  <c r="E264" i="4"/>
  <c r="F264" i="4"/>
  <c r="C265" i="4"/>
  <c r="D265" i="4"/>
  <c r="B265" i="4"/>
  <c r="E265" i="4"/>
  <c r="F265" i="4"/>
  <c r="C266" i="4"/>
  <c r="D266" i="4"/>
  <c r="B266" i="4"/>
  <c r="E266" i="4"/>
  <c r="F266" i="4"/>
  <c r="C267" i="4"/>
  <c r="D267" i="4"/>
  <c r="B267" i="4"/>
  <c r="E267" i="4"/>
  <c r="F267" i="4"/>
  <c r="C268" i="4"/>
  <c r="D268" i="4"/>
  <c r="B268" i="4"/>
  <c r="E268" i="4"/>
  <c r="F268" i="4"/>
  <c r="C269" i="4"/>
  <c r="D269" i="4"/>
  <c r="B269" i="4"/>
  <c r="E269" i="4"/>
  <c r="F269" i="4"/>
  <c r="C270" i="4"/>
  <c r="D270" i="4"/>
  <c r="B270" i="4"/>
  <c r="E270" i="4"/>
  <c r="F270" i="4"/>
  <c r="C271" i="4"/>
  <c r="D271" i="4"/>
  <c r="B271" i="4"/>
  <c r="E271" i="4"/>
  <c r="F271" i="4"/>
  <c r="C272" i="4"/>
  <c r="D272" i="4"/>
  <c r="B272" i="4"/>
  <c r="E272" i="4"/>
  <c r="F272" i="4"/>
  <c r="C273" i="4"/>
  <c r="D273" i="4"/>
  <c r="B273" i="4"/>
  <c r="E273" i="4"/>
  <c r="F273" i="4"/>
  <c r="C274" i="4"/>
  <c r="D274" i="4"/>
  <c r="B274" i="4"/>
  <c r="E274" i="4"/>
  <c r="F274" i="4"/>
  <c r="C275" i="4"/>
  <c r="D275" i="4"/>
  <c r="B275" i="4"/>
  <c r="E275" i="4"/>
  <c r="F275" i="4"/>
  <c r="C276" i="4"/>
  <c r="D276" i="4"/>
  <c r="B276" i="4"/>
  <c r="E276" i="4"/>
  <c r="F276" i="4"/>
  <c r="C277" i="4"/>
  <c r="D277" i="4"/>
  <c r="B277" i="4"/>
  <c r="E277" i="4"/>
  <c r="F277" i="4"/>
  <c r="C278" i="4"/>
  <c r="D278" i="4"/>
  <c r="B278" i="4"/>
  <c r="E278" i="4"/>
  <c r="F278" i="4"/>
  <c r="C279" i="4"/>
  <c r="D279" i="4"/>
  <c r="B279" i="4"/>
  <c r="E279" i="4"/>
  <c r="F279" i="4"/>
  <c r="C280" i="4"/>
  <c r="D280" i="4"/>
  <c r="B280" i="4"/>
  <c r="E280" i="4"/>
  <c r="F280" i="4"/>
  <c r="C281" i="4"/>
  <c r="D281" i="4"/>
  <c r="B281" i="4"/>
  <c r="E281" i="4"/>
  <c r="F281" i="4"/>
  <c r="C282" i="4"/>
  <c r="D282" i="4"/>
  <c r="B282" i="4"/>
  <c r="E282" i="4"/>
  <c r="F282" i="4"/>
  <c r="C283" i="4"/>
  <c r="D283" i="4"/>
  <c r="B283" i="4"/>
  <c r="E283" i="4"/>
  <c r="F283" i="4"/>
  <c r="C284" i="4"/>
  <c r="D284" i="4"/>
  <c r="B284" i="4"/>
  <c r="E284" i="4"/>
  <c r="F284" i="4"/>
  <c r="C285" i="4"/>
  <c r="D285" i="4"/>
  <c r="B285" i="4"/>
  <c r="E285" i="4"/>
  <c r="F285" i="4"/>
  <c r="C286" i="4"/>
  <c r="D286" i="4"/>
  <c r="B286" i="4"/>
  <c r="E286" i="4"/>
  <c r="F286" i="4"/>
  <c r="C287" i="4"/>
  <c r="D287" i="4"/>
  <c r="B287" i="4"/>
  <c r="E287" i="4"/>
  <c r="F287" i="4"/>
  <c r="C288" i="4"/>
  <c r="D288" i="4"/>
  <c r="B288" i="4"/>
  <c r="E288" i="4"/>
  <c r="F288" i="4"/>
  <c r="C289" i="4"/>
  <c r="D289" i="4"/>
  <c r="B289" i="4"/>
  <c r="E289" i="4"/>
  <c r="F289" i="4"/>
  <c r="C290" i="4"/>
  <c r="D290" i="4"/>
  <c r="B290" i="4"/>
  <c r="E290" i="4"/>
  <c r="F290" i="4"/>
  <c r="C291" i="4"/>
  <c r="D291" i="4"/>
  <c r="B291" i="4"/>
  <c r="E291" i="4"/>
  <c r="F291" i="4"/>
  <c r="C292" i="4"/>
  <c r="D292" i="4"/>
  <c r="B292" i="4"/>
  <c r="E292" i="4"/>
  <c r="F292" i="4"/>
  <c r="C293" i="4"/>
  <c r="D293" i="4"/>
  <c r="B293" i="4"/>
  <c r="E293" i="4"/>
  <c r="F293" i="4"/>
  <c r="C294" i="4"/>
  <c r="D294" i="4"/>
  <c r="B294" i="4"/>
  <c r="E294" i="4"/>
  <c r="F294" i="4"/>
  <c r="C295" i="4"/>
  <c r="D295" i="4"/>
  <c r="B295" i="4"/>
  <c r="E295" i="4"/>
  <c r="F295" i="4"/>
  <c r="C296" i="4"/>
  <c r="D296" i="4"/>
  <c r="B296" i="4"/>
  <c r="E296" i="4"/>
  <c r="F296" i="4"/>
  <c r="C297" i="4"/>
  <c r="D297" i="4"/>
  <c r="B297" i="4"/>
  <c r="E297" i="4"/>
  <c r="F297" i="4"/>
  <c r="C298" i="4"/>
  <c r="D298" i="4"/>
  <c r="B298" i="4"/>
  <c r="E298" i="4"/>
  <c r="F298" i="4"/>
  <c r="C299" i="4"/>
  <c r="D299" i="4"/>
  <c r="B299" i="4"/>
  <c r="E299" i="4"/>
  <c r="F299" i="4"/>
  <c r="C300" i="4"/>
  <c r="D300" i="4"/>
  <c r="B300" i="4"/>
  <c r="E300" i="4"/>
  <c r="F300" i="4"/>
  <c r="C301" i="4"/>
  <c r="D301" i="4"/>
  <c r="B301" i="4"/>
  <c r="E301" i="4"/>
  <c r="F301" i="4"/>
  <c r="C302" i="4"/>
  <c r="D302" i="4"/>
  <c r="B302" i="4"/>
  <c r="E302" i="4"/>
  <c r="F302" i="4"/>
  <c r="C303" i="4"/>
  <c r="D303" i="4"/>
  <c r="B303" i="4"/>
  <c r="E303" i="4"/>
  <c r="F303" i="4"/>
  <c r="C304" i="4"/>
  <c r="D304" i="4"/>
  <c r="B304" i="4"/>
  <c r="E304" i="4"/>
  <c r="F304" i="4"/>
  <c r="C305" i="4"/>
  <c r="D305" i="4"/>
  <c r="B305" i="4"/>
  <c r="E305" i="4"/>
  <c r="F305" i="4"/>
  <c r="C306" i="4"/>
  <c r="D306" i="4"/>
  <c r="B306" i="4"/>
  <c r="E306" i="4"/>
  <c r="F306" i="4"/>
  <c r="C307" i="4"/>
  <c r="D307" i="4"/>
  <c r="B307" i="4"/>
  <c r="E307" i="4"/>
  <c r="F307" i="4"/>
  <c r="C308" i="4"/>
  <c r="D308" i="4"/>
  <c r="B308" i="4"/>
  <c r="E308" i="4"/>
  <c r="F308" i="4"/>
  <c r="C309" i="4"/>
  <c r="D309" i="4"/>
  <c r="B309" i="4"/>
  <c r="E309" i="4"/>
  <c r="F309" i="4"/>
  <c r="C310" i="4"/>
  <c r="D310" i="4"/>
  <c r="B310" i="4"/>
  <c r="E310" i="4"/>
  <c r="F310" i="4"/>
  <c r="C311" i="4"/>
  <c r="D311" i="4"/>
  <c r="B311" i="4"/>
  <c r="E311" i="4"/>
  <c r="F311" i="4"/>
  <c r="C312" i="4"/>
  <c r="D312" i="4"/>
  <c r="B312" i="4"/>
  <c r="E312" i="4"/>
  <c r="F312" i="4"/>
  <c r="C313" i="4"/>
  <c r="D313" i="4"/>
  <c r="B313" i="4"/>
  <c r="E313" i="4"/>
  <c r="F313" i="4"/>
  <c r="C314" i="4"/>
  <c r="D314" i="4"/>
  <c r="B314" i="4"/>
  <c r="E314" i="4"/>
  <c r="F314" i="4"/>
  <c r="C315" i="4"/>
  <c r="D315" i="4"/>
  <c r="B315" i="4"/>
  <c r="E315" i="4"/>
  <c r="F315" i="4"/>
  <c r="C316" i="4"/>
  <c r="D316" i="4"/>
  <c r="B316" i="4"/>
  <c r="E316" i="4"/>
  <c r="F316" i="4"/>
  <c r="C317" i="4"/>
  <c r="D317" i="4"/>
  <c r="B317" i="4"/>
  <c r="E317" i="4"/>
  <c r="F317" i="4"/>
  <c r="C318" i="4"/>
  <c r="D318" i="4"/>
  <c r="B318" i="4"/>
  <c r="E318" i="4"/>
  <c r="F318" i="4"/>
  <c r="C319" i="4"/>
  <c r="D319" i="4"/>
  <c r="B319" i="4"/>
  <c r="E319" i="4"/>
  <c r="F319" i="4"/>
  <c r="C320" i="4"/>
  <c r="D320" i="4"/>
  <c r="B320" i="4"/>
  <c r="E320" i="4"/>
  <c r="F320" i="4"/>
  <c r="C321" i="4"/>
  <c r="D321" i="4"/>
  <c r="B321" i="4"/>
  <c r="E321" i="4"/>
  <c r="F321" i="4"/>
  <c r="C322" i="4"/>
  <c r="D322" i="4"/>
  <c r="B322" i="4"/>
  <c r="E322" i="4"/>
  <c r="F322" i="4"/>
  <c r="C323" i="4"/>
  <c r="D323" i="4"/>
  <c r="B323" i="4"/>
  <c r="E323" i="4"/>
  <c r="F323" i="4"/>
  <c r="C324" i="4"/>
  <c r="D324" i="4"/>
  <c r="B324" i="4"/>
  <c r="E324" i="4"/>
  <c r="F324" i="4"/>
  <c r="C325" i="4"/>
  <c r="D325" i="4"/>
  <c r="B325" i="4"/>
  <c r="E325" i="4"/>
  <c r="F325" i="4"/>
  <c r="C326" i="4"/>
  <c r="D326" i="4"/>
  <c r="B326" i="4"/>
  <c r="E326" i="4"/>
  <c r="F326" i="4"/>
  <c r="C327" i="4"/>
  <c r="D327" i="4"/>
  <c r="B327" i="4"/>
  <c r="E327" i="4"/>
  <c r="F327" i="4"/>
  <c r="C328" i="4"/>
  <c r="D328" i="4"/>
  <c r="B328" i="4"/>
  <c r="E328" i="4"/>
  <c r="F328" i="4"/>
  <c r="C329" i="4"/>
  <c r="D329" i="4"/>
  <c r="B329" i="4"/>
  <c r="E329" i="4"/>
  <c r="F329" i="4"/>
  <c r="C330" i="4"/>
  <c r="D330" i="4"/>
  <c r="B330" i="4"/>
  <c r="E330" i="4"/>
  <c r="F330" i="4"/>
  <c r="C331" i="4"/>
  <c r="D331" i="4"/>
  <c r="B331" i="4"/>
  <c r="E331" i="4"/>
  <c r="F331" i="4"/>
  <c r="C332" i="4"/>
  <c r="D332" i="4"/>
  <c r="B332" i="4"/>
  <c r="E332" i="4"/>
  <c r="F332" i="4"/>
  <c r="C333" i="4"/>
  <c r="D333" i="4"/>
  <c r="B333" i="4"/>
  <c r="E333" i="4"/>
  <c r="F333" i="4"/>
  <c r="C334" i="4"/>
  <c r="D334" i="4"/>
  <c r="B334" i="4"/>
  <c r="E334" i="4"/>
  <c r="F334" i="4"/>
  <c r="C335" i="4"/>
  <c r="D335" i="4"/>
  <c r="B335" i="4"/>
  <c r="E335" i="4"/>
  <c r="F335" i="4"/>
  <c r="C336" i="4"/>
  <c r="D336" i="4"/>
  <c r="B336" i="4"/>
  <c r="E336" i="4"/>
  <c r="F336" i="4"/>
  <c r="C337" i="4"/>
  <c r="D337" i="4"/>
  <c r="B337" i="4"/>
  <c r="E337" i="4"/>
  <c r="F337" i="4"/>
  <c r="C338" i="4"/>
  <c r="D338" i="4"/>
  <c r="B338" i="4"/>
  <c r="E338" i="4"/>
  <c r="F338" i="4"/>
  <c r="C339" i="4"/>
  <c r="D339" i="4"/>
  <c r="B339" i="4"/>
  <c r="E339" i="4"/>
  <c r="F339" i="4"/>
  <c r="C340" i="4"/>
  <c r="D340" i="4"/>
  <c r="B340" i="4"/>
  <c r="E340" i="4"/>
  <c r="F340" i="4"/>
  <c r="C341" i="4"/>
  <c r="D341" i="4"/>
  <c r="B341" i="4"/>
  <c r="E341" i="4"/>
  <c r="F341" i="4"/>
  <c r="C342" i="4"/>
  <c r="D342" i="4"/>
  <c r="B342" i="4"/>
  <c r="E342" i="4"/>
  <c r="F342" i="4"/>
  <c r="C343" i="4"/>
  <c r="D343" i="4"/>
  <c r="B343" i="4"/>
  <c r="E343" i="4"/>
  <c r="F343" i="4"/>
  <c r="C344" i="4"/>
  <c r="D344" i="4"/>
  <c r="B344" i="4"/>
  <c r="E344" i="4"/>
  <c r="F344" i="4"/>
  <c r="C345" i="4"/>
  <c r="D345" i="4"/>
  <c r="B345" i="4"/>
  <c r="E345" i="4"/>
  <c r="F345" i="4"/>
  <c r="C346" i="4"/>
  <c r="D346" i="4"/>
  <c r="B346" i="4"/>
  <c r="E346" i="4"/>
  <c r="F346" i="4"/>
  <c r="C347" i="4"/>
  <c r="D347" i="4"/>
  <c r="B347" i="4"/>
  <c r="E347" i="4"/>
  <c r="F347" i="4"/>
  <c r="C348" i="4"/>
  <c r="D348" i="4"/>
  <c r="B348" i="4"/>
  <c r="E348" i="4"/>
  <c r="F348" i="4"/>
  <c r="C349" i="4"/>
  <c r="D349" i="4"/>
  <c r="B349" i="4"/>
  <c r="E349" i="4"/>
  <c r="F349" i="4"/>
  <c r="C350" i="4"/>
  <c r="D350" i="4"/>
  <c r="B350" i="4"/>
  <c r="E350" i="4"/>
  <c r="F350" i="4"/>
  <c r="C351" i="4"/>
  <c r="D351" i="4"/>
  <c r="B351" i="4"/>
  <c r="E351" i="4"/>
  <c r="F351" i="4"/>
  <c r="C352" i="4"/>
  <c r="D352" i="4"/>
  <c r="B352" i="4"/>
  <c r="E352" i="4"/>
  <c r="F352" i="4"/>
  <c r="C353" i="4"/>
  <c r="D353" i="4"/>
  <c r="B353" i="4"/>
  <c r="E353" i="4"/>
  <c r="F353" i="4"/>
  <c r="C354" i="4"/>
  <c r="D354" i="4"/>
  <c r="B354" i="4"/>
  <c r="E354" i="4"/>
  <c r="F354" i="4"/>
  <c r="C355" i="4"/>
  <c r="D355" i="4"/>
  <c r="B355" i="4"/>
  <c r="E355" i="4"/>
  <c r="F355" i="4"/>
  <c r="C356" i="4"/>
  <c r="D356" i="4"/>
  <c r="B356" i="4"/>
  <c r="E356" i="4"/>
  <c r="F356" i="4"/>
  <c r="C357" i="4"/>
  <c r="D357" i="4"/>
  <c r="B357" i="4"/>
  <c r="E357" i="4"/>
  <c r="F357" i="4"/>
  <c r="C358" i="4"/>
  <c r="D358" i="4"/>
  <c r="B358" i="4"/>
  <c r="E358" i="4"/>
  <c r="F358" i="4"/>
  <c r="C359" i="4"/>
  <c r="D359" i="4"/>
  <c r="B359" i="4"/>
  <c r="E359" i="4"/>
  <c r="F359" i="4"/>
  <c r="C360" i="4"/>
  <c r="D360" i="4"/>
  <c r="B360" i="4"/>
  <c r="E360" i="4"/>
  <c r="F360" i="4"/>
  <c r="C361" i="4"/>
  <c r="D361" i="4"/>
  <c r="B361" i="4"/>
  <c r="E361" i="4"/>
  <c r="F361" i="4"/>
  <c r="C362" i="4"/>
  <c r="D362" i="4"/>
  <c r="B362" i="4"/>
  <c r="E362" i="4"/>
  <c r="F362" i="4"/>
  <c r="C363" i="4"/>
  <c r="D363" i="4"/>
  <c r="B363" i="4"/>
  <c r="E363" i="4"/>
  <c r="F363" i="4"/>
  <c r="C364" i="4"/>
  <c r="D364" i="4"/>
  <c r="B364" i="4"/>
  <c r="E364" i="4"/>
  <c r="F364" i="4"/>
  <c r="C365" i="4"/>
  <c r="D365" i="4"/>
  <c r="B365" i="4"/>
  <c r="E365" i="4"/>
  <c r="F365" i="4"/>
  <c r="C366" i="4"/>
  <c r="D366" i="4"/>
  <c r="B366" i="4"/>
  <c r="E366" i="4"/>
  <c r="F366" i="4"/>
  <c r="C367" i="4"/>
  <c r="D367" i="4"/>
  <c r="B367" i="4"/>
  <c r="E367" i="4"/>
  <c r="F367" i="4"/>
  <c r="C368" i="4"/>
  <c r="D368" i="4"/>
  <c r="B368" i="4"/>
  <c r="E368" i="4"/>
  <c r="F368" i="4"/>
  <c r="C369" i="4"/>
  <c r="D369" i="4"/>
  <c r="B369" i="4"/>
  <c r="E369" i="4"/>
  <c r="F369" i="4"/>
  <c r="C370" i="4"/>
  <c r="D370" i="4"/>
  <c r="B370" i="4"/>
  <c r="E370" i="4"/>
  <c r="F370" i="4"/>
  <c r="C371" i="4"/>
  <c r="D371" i="4"/>
  <c r="B371" i="4"/>
  <c r="E371" i="4"/>
  <c r="F371" i="4"/>
  <c r="C372" i="4"/>
  <c r="D372" i="4"/>
  <c r="B372" i="4"/>
  <c r="E372" i="4"/>
  <c r="F372" i="4"/>
  <c r="C373" i="4"/>
  <c r="D373" i="4"/>
  <c r="B373" i="4"/>
  <c r="E373" i="4"/>
  <c r="F373" i="4"/>
  <c r="C374" i="4"/>
  <c r="D374" i="4"/>
  <c r="B374" i="4"/>
  <c r="E374" i="4"/>
  <c r="F374" i="4"/>
  <c r="C375" i="4"/>
  <c r="D375" i="4"/>
  <c r="B375" i="4"/>
  <c r="E375" i="4"/>
  <c r="F375" i="4"/>
  <c r="C376" i="4"/>
  <c r="D376" i="4"/>
  <c r="B376" i="4"/>
  <c r="E376" i="4"/>
  <c r="F376" i="4"/>
  <c r="C377" i="4"/>
  <c r="D377" i="4"/>
  <c r="B377" i="4"/>
  <c r="E377" i="4"/>
  <c r="F377" i="4"/>
  <c r="C378" i="4"/>
  <c r="D378" i="4"/>
  <c r="B378" i="4"/>
  <c r="E378" i="4"/>
  <c r="F378" i="4"/>
  <c r="C379" i="4"/>
  <c r="D379" i="4"/>
  <c r="B379" i="4"/>
  <c r="E379" i="4"/>
  <c r="F379" i="4"/>
  <c r="C380" i="4"/>
  <c r="D380" i="4"/>
  <c r="B380" i="4"/>
  <c r="E380" i="4"/>
  <c r="F380" i="4"/>
  <c r="C381" i="4"/>
  <c r="D381" i="4"/>
  <c r="B381" i="4"/>
  <c r="E381" i="4"/>
  <c r="F381" i="4"/>
  <c r="C382" i="4"/>
  <c r="D382" i="4"/>
  <c r="B382" i="4"/>
  <c r="E382" i="4"/>
  <c r="F382" i="4"/>
  <c r="C383" i="4"/>
  <c r="D383" i="4"/>
  <c r="B383" i="4"/>
  <c r="E383" i="4"/>
  <c r="F383" i="4"/>
  <c r="C384" i="4"/>
  <c r="D384" i="4"/>
  <c r="B384" i="4"/>
  <c r="E384" i="4"/>
  <c r="F384" i="4"/>
  <c r="C385" i="4"/>
  <c r="D385" i="4"/>
  <c r="B385" i="4"/>
  <c r="E385" i="4"/>
  <c r="F385" i="4"/>
  <c r="C386" i="4"/>
  <c r="D386" i="4"/>
  <c r="B386" i="4"/>
  <c r="E386" i="4"/>
  <c r="F386" i="4"/>
  <c r="C387" i="4"/>
  <c r="D387" i="4"/>
  <c r="B387" i="4"/>
  <c r="E387" i="4"/>
  <c r="F387" i="4"/>
  <c r="C388" i="4"/>
  <c r="D388" i="4"/>
  <c r="B388" i="4"/>
  <c r="E388" i="4"/>
  <c r="F388" i="4"/>
  <c r="C389" i="4"/>
  <c r="D389" i="4"/>
  <c r="B389" i="4"/>
  <c r="E389" i="4"/>
  <c r="F389" i="4"/>
  <c r="C390" i="4"/>
  <c r="D390" i="4"/>
  <c r="B390" i="4"/>
  <c r="E390" i="4"/>
  <c r="F390" i="4"/>
  <c r="C391" i="4"/>
  <c r="D391" i="4"/>
  <c r="B391" i="4"/>
  <c r="E391" i="4"/>
  <c r="F391" i="4"/>
  <c r="C392" i="4"/>
  <c r="D392" i="4"/>
  <c r="B392" i="4"/>
  <c r="E392" i="4"/>
  <c r="F392" i="4"/>
  <c r="C393" i="4"/>
  <c r="D393" i="4"/>
  <c r="B393" i="4"/>
  <c r="E393" i="4"/>
  <c r="F393" i="4"/>
  <c r="C394" i="4"/>
  <c r="D394" i="4"/>
  <c r="B394" i="4"/>
  <c r="E394" i="4"/>
  <c r="F394" i="4"/>
  <c r="C395" i="4"/>
  <c r="D395" i="4"/>
  <c r="B395" i="4"/>
  <c r="E395" i="4"/>
  <c r="F395" i="4"/>
  <c r="C396" i="4"/>
  <c r="D396" i="4"/>
  <c r="B396" i="4"/>
  <c r="E396" i="4"/>
  <c r="F396" i="4"/>
  <c r="C397" i="4"/>
  <c r="D397" i="4"/>
  <c r="B397" i="4"/>
  <c r="E397" i="4"/>
  <c r="F397" i="4"/>
  <c r="C398" i="4"/>
  <c r="D398" i="4"/>
  <c r="B398" i="4"/>
  <c r="E398" i="4"/>
  <c r="F398" i="4"/>
  <c r="C399" i="4"/>
  <c r="D399" i="4"/>
  <c r="B399" i="4"/>
  <c r="E399" i="4"/>
  <c r="F399" i="4"/>
  <c r="C400" i="4"/>
  <c r="D400" i="4"/>
  <c r="B400" i="4"/>
  <c r="E400" i="4"/>
  <c r="F400" i="4"/>
  <c r="C401" i="4"/>
  <c r="D401" i="4"/>
  <c r="B401" i="4"/>
  <c r="E401" i="4"/>
  <c r="F401" i="4"/>
  <c r="C402" i="4"/>
  <c r="D402" i="4"/>
  <c r="B402" i="4"/>
  <c r="E402" i="4"/>
  <c r="F402" i="4"/>
  <c r="C403" i="4"/>
  <c r="D403" i="4"/>
  <c r="B403" i="4"/>
  <c r="E403" i="4"/>
  <c r="F403" i="4"/>
  <c r="C404" i="4"/>
  <c r="D404" i="4"/>
  <c r="B404" i="4"/>
  <c r="E404" i="4"/>
  <c r="F404" i="4"/>
  <c r="C405" i="4"/>
  <c r="D405" i="4"/>
  <c r="B405" i="4"/>
  <c r="E405" i="4"/>
  <c r="F405" i="4"/>
  <c r="C406" i="4"/>
  <c r="D406" i="4"/>
  <c r="B406" i="4"/>
  <c r="E406" i="4"/>
  <c r="F406" i="4"/>
  <c r="C407" i="4"/>
  <c r="D407" i="4"/>
  <c r="B407" i="4"/>
  <c r="E407" i="4"/>
  <c r="F407" i="4"/>
  <c r="C408" i="4"/>
  <c r="D408" i="4"/>
  <c r="B408" i="4"/>
  <c r="E408" i="4"/>
  <c r="F408" i="4"/>
  <c r="C409" i="4"/>
  <c r="D409" i="4"/>
  <c r="B409" i="4"/>
  <c r="E409" i="4"/>
  <c r="F409" i="4"/>
  <c r="C410" i="4"/>
  <c r="D410" i="4"/>
  <c r="B410" i="4"/>
  <c r="E410" i="4"/>
  <c r="F410" i="4"/>
  <c r="C411" i="4"/>
  <c r="D411" i="4"/>
  <c r="B411" i="4"/>
  <c r="E411" i="4"/>
  <c r="F411" i="4"/>
  <c r="C412" i="4"/>
  <c r="D412" i="4"/>
  <c r="B412" i="4"/>
  <c r="E412" i="4"/>
  <c r="F412" i="4"/>
  <c r="C413" i="4"/>
  <c r="D413" i="4"/>
  <c r="B413" i="4"/>
  <c r="E413" i="4"/>
  <c r="F413" i="4"/>
  <c r="C414" i="4"/>
  <c r="D414" i="4"/>
  <c r="B414" i="4"/>
  <c r="E414" i="4"/>
  <c r="F414" i="4"/>
  <c r="C415" i="4"/>
  <c r="D415" i="4"/>
  <c r="B415" i="4"/>
  <c r="E415" i="4"/>
  <c r="F415" i="4"/>
  <c r="C416" i="4"/>
  <c r="D416" i="4"/>
  <c r="B416" i="4"/>
  <c r="E416" i="4"/>
  <c r="F416" i="4"/>
  <c r="C417" i="4"/>
  <c r="D417" i="4"/>
  <c r="B417" i="4"/>
  <c r="E417" i="4"/>
  <c r="F417" i="4"/>
  <c r="C418" i="4"/>
  <c r="D418" i="4"/>
  <c r="B418" i="4"/>
  <c r="E418" i="4"/>
  <c r="F418" i="4"/>
  <c r="C419" i="4"/>
  <c r="D419" i="4"/>
  <c r="B419" i="4"/>
  <c r="E419" i="4"/>
  <c r="F419" i="4"/>
  <c r="C420" i="4"/>
  <c r="D420" i="4"/>
  <c r="B420" i="4"/>
  <c r="E420" i="4"/>
  <c r="F420" i="4"/>
  <c r="C421" i="4"/>
  <c r="D421" i="4"/>
  <c r="B421" i="4"/>
  <c r="E421" i="4"/>
  <c r="F421" i="4"/>
  <c r="C422" i="4"/>
  <c r="D422" i="4"/>
  <c r="B422" i="4"/>
  <c r="E422" i="4"/>
  <c r="F422" i="4"/>
  <c r="C423" i="4"/>
  <c r="D423" i="4"/>
  <c r="B423" i="4"/>
  <c r="E423" i="4"/>
  <c r="F423" i="4"/>
  <c r="C424" i="4"/>
  <c r="D424" i="4"/>
  <c r="B424" i="4"/>
  <c r="E424" i="4"/>
  <c r="F424" i="4"/>
  <c r="C425" i="4"/>
  <c r="D425" i="4"/>
  <c r="B425" i="4"/>
  <c r="E425" i="4"/>
  <c r="F425" i="4"/>
  <c r="C426" i="4"/>
  <c r="D426" i="4"/>
  <c r="B426" i="4"/>
  <c r="E426" i="4"/>
  <c r="F426" i="4"/>
  <c r="C427" i="4"/>
  <c r="D427" i="4"/>
  <c r="B427" i="4"/>
  <c r="E427" i="4"/>
  <c r="F427" i="4"/>
  <c r="C428" i="4"/>
  <c r="D428" i="4"/>
  <c r="B428" i="4"/>
  <c r="E428" i="4"/>
  <c r="F428" i="4"/>
  <c r="C429" i="4"/>
  <c r="D429" i="4"/>
  <c r="B429" i="4"/>
  <c r="E429" i="4"/>
  <c r="F429" i="4"/>
  <c r="C430" i="4"/>
  <c r="D430" i="4"/>
  <c r="B430" i="4"/>
  <c r="E430" i="4"/>
  <c r="F430" i="4"/>
  <c r="C431" i="4"/>
  <c r="D431" i="4"/>
  <c r="B431" i="4"/>
  <c r="E431" i="4"/>
  <c r="F431" i="4"/>
  <c r="C432" i="4"/>
  <c r="D432" i="4"/>
  <c r="B432" i="4"/>
  <c r="E432" i="4"/>
  <c r="F432" i="4"/>
  <c r="C433" i="4"/>
  <c r="D433" i="4"/>
  <c r="B433" i="4"/>
  <c r="E433" i="4"/>
  <c r="F433" i="4"/>
  <c r="C434" i="4"/>
  <c r="D434" i="4"/>
  <c r="B434" i="4"/>
  <c r="E434" i="4"/>
  <c r="F434" i="4"/>
  <c r="C435" i="4"/>
  <c r="D435" i="4"/>
  <c r="B435" i="4"/>
  <c r="E435" i="4"/>
  <c r="F435" i="4"/>
  <c r="C436" i="4"/>
  <c r="D436" i="4"/>
  <c r="B436" i="4"/>
  <c r="E436" i="4"/>
  <c r="F436" i="4"/>
  <c r="C437" i="4"/>
  <c r="D437" i="4"/>
  <c r="B437" i="4"/>
  <c r="E437" i="4"/>
  <c r="F437" i="4"/>
  <c r="C438" i="4"/>
  <c r="D438" i="4"/>
  <c r="B438" i="4"/>
  <c r="E438" i="4"/>
  <c r="F438" i="4"/>
  <c r="C439" i="4"/>
  <c r="D439" i="4"/>
  <c r="B439" i="4"/>
  <c r="E439" i="4"/>
  <c r="F439" i="4"/>
  <c r="C440" i="4"/>
  <c r="D440" i="4"/>
  <c r="B440" i="4"/>
  <c r="E440" i="4"/>
  <c r="F440" i="4"/>
  <c r="C441" i="4"/>
  <c r="D441" i="4"/>
  <c r="B441" i="4"/>
  <c r="E441" i="4"/>
  <c r="F441" i="4"/>
  <c r="C442" i="4"/>
  <c r="D442" i="4"/>
  <c r="B442" i="4"/>
  <c r="E442" i="4"/>
  <c r="F442" i="4"/>
  <c r="C443" i="4"/>
  <c r="D443" i="4"/>
  <c r="B443" i="4"/>
  <c r="E443" i="4"/>
  <c r="F443" i="4"/>
  <c r="C444" i="4"/>
  <c r="D444" i="4"/>
  <c r="B444" i="4"/>
  <c r="E444" i="4"/>
  <c r="F444" i="4"/>
  <c r="C445" i="4"/>
  <c r="D445" i="4"/>
  <c r="B445" i="4"/>
  <c r="E445" i="4"/>
  <c r="F445" i="4"/>
  <c r="C446" i="4"/>
  <c r="D446" i="4"/>
  <c r="B446" i="4"/>
  <c r="E446" i="4"/>
  <c r="F446" i="4"/>
  <c r="C447" i="4"/>
  <c r="D447" i="4"/>
  <c r="B447" i="4"/>
  <c r="E447" i="4"/>
  <c r="F447" i="4"/>
  <c r="C448" i="4"/>
  <c r="D448" i="4"/>
  <c r="B448" i="4"/>
  <c r="E448" i="4"/>
  <c r="F448" i="4"/>
  <c r="C449" i="4"/>
  <c r="D449" i="4"/>
  <c r="B449" i="4"/>
  <c r="E449" i="4"/>
  <c r="F449" i="4"/>
  <c r="C450" i="4"/>
  <c r="D450" i="4"/>
  <c r="B450" i="4"/>
  <c r="E450" i="4"/>
  <c r="F450" i="4"/>
  <c r="C451" i="4"/>
  <c r="D451" i="4"/>
  <c r="B451" i="4"/>
  <c r="E451" i="4"/>
  <c r="F451" i="4"/>
  <c r="C452" i="4"/>
  <c r="D452" i="4"/>
  <c r="B452" i="4"/>
  <c r="E452" i="4"/>
  <c r="F452" i="4"/>
  <c r="C453" i="4"/>
  <c r="D453" i="4"/>
  <c r="B453" i="4"/>
  <c r="E453" i="4"/>
  <c r="F453" i="4"/>
  <c r="C454" i="4"/>
  <c r="D454" i="4"/>
  <c r="B454" i="4"/>
  <c r="E454" i="4"/>
  <c r="F454" i="4"/>
  <c r="C455" i="4"/>
  <c r="D455" i="4"/>
  <c r="B455" i="4"/>
  <c r="E455" i="4"/>
  <c r="F455" i="4"/>
  <c r="C456" i="4"/>
  <c r="D456" i="4"/>
  <c r="B456" i="4"/>
  <c r="E456" i="4"/>
  <c r="F456" i="4"/>
  <c r="C457" i="4"/>
  <c r="D457" i="4"/>
  <c r="B457" i="4"/>
  <c r="E457" i="4"/>
  <c r="F457" i="4"/>
  <c r="C458" i="4"/>
  <c r="D458" i="4"/>
  <c r="B458" i="4"/>
  <c r="E458" i="4"/>
  <c r="F458" i="4"/>
  <c r="C459" i="4"/>
  <c r="D459" i="4"/>
  <c r="B459" i="4"/>
  <c r="E459" i="4"/>
  <c r="F459" i="4"/>
  <c r="C460" i="4"/>
  <c r="D460" i="4"/>
  <c r="B460" i="4"/>
  <c r="E460" i="4"/>
  <c r="F460" i="4"/>
  <c r="C461" i="4"/>
  <c r="D461" i="4"/>
  <c r="B461" i="4"/>
  <c r="E461" i="4"/>
  <c r="F461" i="4"/>
  <c r="C462" i="4"/>
  <c r="D462" i="4"/>
  <c r="B462" i="4"/>
  <c r="E462" i="4"/>
  <c r="F462" i="4"/>
  <c r="C463" i="4"/>
  <c r="D463" i="4"/>
  <c r="B463" i="4"/>
  <c r="E463" i="4"/>
  <c r="F463" i="4"/>
  <c r="C464" i="4"/>
  <c r="D464" i="4"/>
  <c r="B464" i="4"/>
  <c r="E464" i="4"/>
  <c r="F464" i="4"/>
  <c r="C465" i="4"/>
  <c r="D465" i="4"/>
  <c r="B465" i="4"/>
  <c r="E465" i="4"/>
  <c r="F465" i="4"/>
  <c r="C466" i="4"/>
  <c r="D466" i="4"/>
  <c r="B466" i="4"/>
  <c r="E466" i="4"/>
  <c r="F466" i="4"/>
  <c r="C467" i="4"/>
  <c r="D467" i="4"/>
  <c r="B467" i="4"/>
  <c r="E467" i="4"/>
  <c r="F467" i="4"/>
  <c r="C468" i="4"/>
  <c r="D468" i="4"/>
  <c r="B468" i="4"/>
  <c r="E468" i="4"/>
  <c r="F468" i="4"/>
  <c r="C469" i="4"/>
  <c r="D469" i="4"/>
  <c r="B469" i="4"/>
  <c r="E469" i="4"/>
  <c r="F469" i="4"/>
  <c r="C470" i="4"/>
  <c r="D470" i="4"/>
  <c r="B470" i="4"/>
  <c r="E470" i="4"/>
  <c r="F470" i="4"/>
  <c r="C471" i="4"/>
  <c r="D471" i="4"/>
  <c r="B471" i="4"/>
  <c r="E471" i="4"/>
  <c r="F471" i="4"/>
  <c r="C472" i="4"/>
  <c r="D472" i="4"/>
  <c r="B472" i="4"/>
  <c r="E472" i="4"/>
  <c r="F472" i="4"/>
  <c r="C473" i="4"/>
  <c r="D473" i="4"/>
  <c r="B473" i="4"/>
  <c r="E473" i="4"/>
  <c r="F473" i="4"/>
  <c r="C474" i="4"/>
  <c r="D474" i="4"/>
  <c r="B474" i="4"/>
  <c r="E474" i="4"/>
  <c r="F474" i="4"/>
  <c r="C475" i="4"/>
  <c r="D475" i="4"/>
  <c r="B475" i="4"/>
  <c r="E475" i="4"/>
  <c r="F475" i="4"/>
  <c r="C476" i="4"/>
  <c r="D476" i="4"/>
  <c r="B476" i="4"/>
  <c r="E476" i="4"/>
  <c r="F476" i="4"/>
  <c r="C477" i="4"/>
  <c r="D477" i="4"/>
  <c r="B477" i="4"/>
  <c r="E477" i="4"/>
  <c r="F477" i="4"/>
  <c r="C478" i="4"/>
  <c r="D478" i="4"/>
  <c r="B478" i="4"/>
  <c r="E478" i="4"/>
  <c r="F478" i="4"/>
  <c r="C479" i="4"/>
  <c r="D479" i="4"/>
  <c r="B479" i="4"/>
  <c r="E479" i="4"/>
  <c r="F479" i="4"/>
  <c r="C480" i="4"/>
  <c r="D480" i="4"/>
  <c r="B480" i="4"/>
  <c r="E480" i="4"/>
  <c r="F480" i="4"/>
  <c r="C481" i="4"/>
  <c r="D481" i="4"/>
  <c r="B481" i="4"/>
  <c r="E481" i="4"/>
  <c r="F481" i="4"/>
  <c r="C482" i="4"/>
  <c r="D482" i="4"/>
  <c r="B482" i="4"/>
  <c r="E482" i="4"/>
  <c r="F482" i="4"/>
  <c r="C483" i="4"/>
  <c r="D483" i="4"/>
  <c r="B483" i="4"/>
  <c r="E483" i="4"/>
  <c r="F483" i="4"/>
  <c r="C484" i="4"/>
  <c r="D484" i="4"/>
  <c r="B484" i="4"/>
  <c r="E484" i="4"/>
  <c r="F484" i="4"/>
  <c r="C485" i="4"/>
  <c r="D485" i="4"/>
  <c r="B485" i="4"/>
  <c r="E485" i="4"/>
  <c r="F485" i="4"/>
  <c r="C486" i="4"/>
  <c r="D486" i="4"/>
  <c r="B486" i="4"/>
  <c r="E486" i="4"/>
  <c r="F486" i="4"/>
  <c r="C487" i="4"/>
  <c r="D487" i="4"/>
  <c r="B487" i="4"/>
  <c r="E487" i="4"/>
  <c r="F487" i="4"/>
  <c r="C488" i="4"/>
  <c r="D488" i="4"/>
  <c r="B488" i="4"/>
  <c r="E488" i="4"/>
  <c r="F488" i="4"/>
  <c r="C489" i="4"/>
  <c r="D489" i="4"/>
  <c r="B489" i="4"/>
  <c r="E489" i="4"/>
  <c r="F489" i="4"/>
  <c r="C490" i="4"/>
  <c r="D490" i="4"/>
  <c r="B490" i="4"/>
  <c r="E490" i="4"/>
  <c r="F490" i="4"/>
  <c r="C491" i="4"/>
  <c r="D491" i="4"/>
  <c r="B491" i="4"/>
  <c r="E491" i="4"/>
  <c r="F491" i="4"/>
  <c r="C492" i="4"/>
  <c r="D492" i="4"/>
  <c r="B492" i="4"/>
  <c r="E492" i="4"/>
  <c r="F492" i="4"/>
  <c r="C493" i="4"/>
  <c r="D493" i="4"/>
  <c r="B493" i="4"/>
  <c r="E493" i="4"/>
  <c r="F493" i="4"/>
  <c r="C494" i="4"/>
  <c r="D494" i="4"/>
  <c r="B494" i="4"/>
  <c r="E494" i="4"/>
  <c r="F494" i="4"/>
  <c r="C495" i="4"/>
  <c r="D495" i="4"/>
  <c r="B495" i="4"/>
  <c r="E495" i="4"/>
  <c r="F495" i="4"/>
  <c r="C496" i="4"/>
  <c r="D496" i="4"/>
  <c r="B496" i="4"/>
  <c r="E496" i="4"/>
  <c r="F496" i="4"/>
  <c r="C497" i="4"/>
  <c r="D497" i="4"/>
  <c r="B497" i="4"/>
  <c r="E497" i="4"/>
  <c r="F497" i="4"/>
  <c r="C498" i="4"/>
  <c r="D498" i="4"/>
  <c r="B498" i="4"/>
  <c r="E498" i="4"/>
  <c r="F498" i="4"/>
  <c r="C499" i="4"/>
  <c r="D499" i="4"/>
  <c r="B499" i="4"/>
  <c r="E499" i="4"/>
  <c r="F499" i="4"/>
  <c r="C500" i="4"/>
  <c r="D500" i="4"/>
  <c r="B500" i="4"/>
  <c r="E500" i="4"/>
  <c r="F500" i="4"/>
  <c r="C501" i="4"/>
  <c r="D501" i="4"/>
  <c r="B501" i="4"/>
  <c r="E501" i="4"/>
  <c r="F501" i="4"/>
  <c r="D502" i="4"/>
  <c r="E502" i="4"/>
  <c r="F502" i="4"/>
  <c r="E2" i="4"/>
  <c r="D2" i="4"/>
  <c r="F2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D502" i="3"/>
</calcChain>
</file>

<file path=xl/sharedStrings.xml><?xml version="1.0" encoding="utf-8"?>
<sst xmlns="http://schemas.openxmlformats.org/spreadsheetml/2006/main" count="43" uniqueCount="30">
  <si>
    <t>Inputs</t>
  </si>
  <si>
    <t>Time step (s)</t>
  </si>
  <si>
    <t>Initial Velocity (m/s)</t>
  </si>
  <si>
    <t>Initial Position (m)</t>
  </si>
  <si>
    <t>Object Mass (kg)</t>
  </si>
  <si>
    <t>Spring Constant (N/m)</t>
  </si>
  <si>
    <t>Amplitude (m)</t>
  </si>
  <si>
    <t>Starting Total Energy (J)</t>
  </si>
  <si>
    <t>Ending Total Energy (J)</t>
  </si>
  <si>
    <t>Time Steps</t>
  </si>
  <si>
    <t>Position</t>
  </si>
  <si>
    <t>Velocity</t>
  </si>
  <si>
    <t>Aceleration</t>
  </si>
  <si>
    <t>*500 graphed points</t>
  </si>
  <si>
    <t>Analytical Outputs</t>
  </si>
  <si>
    <t>Iterative Outputs</t>
  </si>
  <si>
    <t>Amplitude</t>
  </si>
  <si>
    <t>1/2*k*A^2=1/2*m*v^2+1/2*k*x^2</t>
  </si>
  <si>
    <t>Wave Shift (S)</t>
  </si>
  <si>
    <t>x(t)=A*SIN(SQRT(k/m)*t+S)</t>
  </si>
  <si>
    <t xml:space="preserve">the iterative function no longer acts </t>
  </si>
  <si>
    <t>harmonic.</t>
  </si>
  <si>
    <t>Kinetic Energy</t>
  </si>
  <si>
    <t>Potential Energy</t>
  </si>
  <si>
    <t>Total Energy</t>
  </si>
  <si>
    <t>Percent Energy Difference</t>
  </si>
  <si>
    <t>Percentage Differences of Analytical and Iterative</t>
  </si>
  <si>
    <t>To view one single oscilation,</t>
  </si>
  <si>
    <t>Period (s)</t>
  </si>
  <si>
    <t>or click button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</si>
</sst>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10" xfId="0" applyBorder="1"/>
    <xf numFmtId="9" fontId="0" fillId="0" borderId="0" xfId="1" applyFont="1" applyBorder="1"/>
    <xf numFmtId="10" fontId="0" fillId="0" borderId="4" xfId="1" applyNumberFormat="1" applyFont="1" applyBorder="1"/>
    <xf numFmtId="10" fontId="0" fillId="0" borderId="6" xfId="1" applyNumberFormat="1" applyFont="1" applyBorder="1"/>
    <xf numFmtId="10" fontId="0" fillId="0" borderId="8" xfId="1" applyNumberFormat="1" applyFont="1" applyBorder="1"/>
    <xf numFmtId="10" fontId="0" fillId="0" borderId="9" xfId="1" applyNumberFormat="1" applyFont="1" applyBorder="1"/>
    <xf numFmtId="10" fontId="0" fillId="0" borderId="7" xfId="0" applyNumberFormat="1" applyBorder="1"/>
    <xf numFmtId="0" fontId="0" fillId="0" borderId="0" xfId="0" applyFill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7" xfId="0" applyFill="1" applyBorder="1" applyAlignment="1"/>
    <xf numFmtId="0" fontId="0" fillId="0" borderId="8" xfId="0" applyFill="1" applyBorder="1" applyAlignment="1"/>
    <xf numFmtId="0" fontId="0" fillId="0" borderId="3" xfId="0" applyBorder="1" applyAlignment="1"/>
    <xf numFmtId="0" fontId="0" fillId="0" borderId="4" xfId="0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Iterative Position</a:t>
            </a:r>
            <a:r>
              <a:rPr lang="en-US" baseline="0"/>
              <a:t> over Time*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Steps'!$B$2:$B$502</c:f>
              <c:numCache>
                <c:formatCode>General</c:formatCode>
                <c:ptCount val="501"/>
                <c:pt idx="0">
                  <c:v>2.0</c:v>
                </c:pt>
                <c:pt idx="1">
                  <c:v>2.100215137574038</c:v>
                </c:pt>
                <c:pt idx="2">
                  <c:v>2.200098622467036</c:v>
                </c:pt>
                <c:pt idx="3">
                  <c:v>2.29963468171128</c:v>
                </c:pt>
                <c:pt idx="4">
                  <c:v>2.398807597202316</c:v>
                </c:pt>
                <c:pt idx="5">
                  <c:v>2.497601708181052</c:v>
                </c:pt>
                <c:pt idx="6">
                  <c:v>2.596001413706809</c:v>
                </c:pt>
                <c:pt idx="7">
                  <c:v>2.693991175120917</c:v>
                </c:pt>
                <c:pt idx="8">
                  <c:v>2.791555518500492</c:v>
                </c:pt>
                <c:pt idx="9">
                  <c:v>2.888679037101965</c:v>
                </c:pt>
                <c:pt idx="10">
                  <c:v>2.985346393794031</c:v>
                </c:pt>
                <c:pt idx="11">
                  <c:v>3.081542323479586</c:v>
                </c:pt>
                <c:pt idx="12">
                  <c:v>3.177251635506294</c:v>
                </c:pt>
                <c:pt idx="13">
                  <c:v>3.272459216065399</c:v>
                </c:pt>
                <c:pt idx="14">
                  <c:v>3.367150030578404</c:v>
                </c:pt>
                <c:pt idx="15">
                  <c:v>3.461309126071235</c:v>
                </c:pt>
                <c:pt idx="16">
                  <c:v>3.554921633535518</c:v>
                </c:pt>
                <c:pt idx="17">
                  <c:v>3.647972770276602</c:v>
                </c:pt>
                <c:pt idx="18">
                  <c:v>3.74044784224795</c:v>
                </c:pt>
                <c:pt idx="19">
                  <c:v>3.832332246371524</c:v>
                </c:pt>
                <c:pt idx="20">
                  <c:v>3.923611472843814</c:v>
                </c:pt>
                <c:pt idx="21">
                  <c:v>4.014271107427135</c:v>
                </c:pt>
                <c:pt idx="22">
                  <c:v>4.104296833725832</c:v>
                </c:pt>
                <c:pt idx="23">
                  <c:v>4.193674435447033</c:v>
                </c:pt>
                <c:pt idx="24">
                  <c:v>4.282389798645596</c:v>
                </c:pt>
                <c:pt idx="25">
                  <c:v>4.370428913952896</c:v>
                </c:pt>
                <c:pt idx="26">
                  <c:v>4.457777878789097</c:v>
                </c:pt>
                <c:pt idx="27">
                  <c:v>4.544422899558552</c:v>
                </c:pt>
                <c:pt idx="28">
                  <c:v>4.630350293828009</c:v>
                </c:pt>
                <c:pt idx="29">
                  <c:v>4.715546492487249</c:v>
                </c:pt>
                <c:pt idx="30">
                  <c:v>4.799998041891836</c:v>
                </c:pt>
                <c:pt idx="31">
                  <c:v>4.88369160598763</c:v>
                </c:pt>
                <c:pt idx="32">
                  <c:v>4.966613968416738</c:v>
                </c:pt>
                <c:pt idx="33">
                  <c:v>5.048752034604546</c:v>
                </c:pt>
                <c:pt idx="34">
                  <c:v>5.130092833827542</c:v>
                </c:pt>
                <c:pt idx="35">
                  <c:v>5.210623521261567</c:v>
                </c:pt>
                <c:pt idx="36">
                  <c:v>5.290331380010186</c:v>
                </c:pt>
                <c:pt idx="37">
                  <c:v>5.369203823112862</c:v>
                </c:pt>
                <c:pt idx="38">
                  <c:v>5.447228395532612</c:v>
                </c:pt>
                <c:pt idx="39">
                  <c:v>5.524392776122822</c:v>
                </c:pt>
                <c:pt idx="40">
                  <c:v>5.600684779572925</c:v>
                </c:pt>
                <c:pt idx="41">
                  <c:v>5.676092358332636</c:v>
                </c:pt>
                <c:pt idx="42">
                  <c:v>5.750603604514414</c:v>
                </c:pt>
                <c:pt idx="43">
                  <c:v>5.824206751773888</c:v>
                </c:pt>
                <c:pt idx="44">
                  <c:v>5.896890177167918</c:v>
                </c:pt>
                <c:pt idx="45">
                  <c:v>5.968642402990024</c:v>
                </c:pt>
                <c:pt idx="46">
                  <c:v>6.039452098582865</c:v>
                </c:pt>
                <c:pt idx="47">
                  <c:v>6.109308082127507</c:v>
                </c:pt>
                <c:pt idx="48">
                  <c:v>6.178199322409191</c:v>
                </c:pt>
                <c:pt idx="49">
                  <c:v>6.246114940559302</c:v>
                </c:pt>
                <c:pt idx="50">
                  <c:v>6.3130442117733</c:v>
                </c:pt>
                <c:pt idx="51">
                  <c:v>6.37897656700431</c:v>
                </c:pt>
                <c:pt idx="52">
                  <c:v>6.443901594632117</c:v>
                </c:pt>
                <c:pt idx="53">
                  <c:v>6.507809042107307</c:v>
                </c:pt>
                <c:pt idx="54">
                  <c:v>6.570688817570282</c:v>
                </c:pt>
                <c:pt idx="55">
                  <c:v>6.632530991444904</c:v>
                </c:pt>
                <c:pt idx="56">
                  <c:v>6.693325798006509</c:v>
                </c:pt>
                <c:pt idx="57">
                  <c:v>6.753063636924052</c:v>
                </c:pt>
                <c:pt idx="58">
                  <c:v>6.811735074776125</c:v>
                </c:pt>
                <c:pt idx="59">
                  <c:v>6.86933084654063</c:v>
                </c:pt>
                <c:pt idx="60">
                  <c:v>6.925841857057846</c:v>
                </c:pt>
                <c:pt idx="61">
                  <c:v>6.981259182466683</c:v>
                </c:pt>
                <c:pt idx="62">
                  <c:v>7.035574071613881</c:v>
                </c:pt>
                <c:pt idx="63">
                  <c:v>7.088777947435937</c:v>
                </c:pt>
                <c:pt idx="64">
                  <c:v>7.14086240831354</c:v>
                </c:pt>
                <c:pt idx="65">
                  <c:v>7.191819229398299</c:v>
                </c:pt>
                <c:pt idx="66">
                  <c:v>7.241640363911566</c:v>
                </c:pt>
                <c:pt idx="67">
                  <c:v>7.290317944415124</c:v>
                </c:pt>
                <c:pt idx="68">
                  <c:v>7.33784428405357</c:v>
                </c:pt>
                <c:pt idx="69">
                  <c:v>7.38421187776817</c:v>
                </c:pt>
                <c:pt idx="70">
                  <c:v>7.42941340348201</c:v>
                </c:pt>
                <c:pt idx="71">
                  <c:v>7.47344172325626</c:v>
                </c:pt>
                <c:pt idx="72">
                  <c:v>7.516289884417338</c:v>
                </c:pt>
                <c:pt idx="73">
                  <c:v>7.557951120654847</c:v>
                </c:pt>
                <c:pt idx="74">
                  <c:v>7.598418853090058</c:v>
                </c:pt>
                <c:pt idx="75">
                  <c:v>7.637686691314807</c:v>
                </c:pt>
                <c:pt idx="76">
                  <c:v>7.675748434400634</c:v>
                </c:pt>
                <c:pt idx="77">
                  <c:v>7.712598071877983</c:v>
                </c:pt>
                <c:pt idx="78">
                  <c:v>7.748229784685347</c:v>
                </c:pt>
                <c:pt idx="79">
                  <c:v>7.782637946088175</c:v>
                </c:pt>
                <c:pt idx="80">
                  <c:v>7.815817122567406</c:v>
                </c:pt>
                <c:pt idx="81">
                  <c:v>7.8477620746775</c:v>
                </c:pt>
                <c:pt idx="82">
                  <c:v>7.87846775787382</c:v>
                </c:pt>
                <c:pt idx="83">
                  <c:v>7.907929323309227</c:v>
                </c:pt>
                <c:pt idx="84">
                  <c:v>7.93614211859979</c:v>
                </c:pt>
                <c:pt idx="85">
                  <c:v>7.963101688559451</c:v>
                </c:pt>
                <c:pt idx="86">
                  <c:v>7.988803775903564</c:v>
                </c:pt>
                <c:pt idx="87">
                  <c:v>8.01324432192118</c:v>
                </c:pt>
                <c:pt idx="88">
                  <c:v>8.03641946711597</c:v>
                </c:pt>
                <c:pt idx="89">
                  <c:v>8.058325551815691</c:v>
                </c:pt>
                <c:pt idx="90">
                  <c:v>8.078959116750109</c:v>
                </c:pt>
                <c:pt idx="91">
                  <c:v>8.098316903597247</c:v>
                </c:pt>
                <c:pt idx="92">
                  <c:v>8.116395855497934</c:v>
                </c:pt>
                <c:pt idx="93">
                  <c:v>8.13319311753852</c:v>
                </c:pt>
                <c:pt idx="94">
                  <c:v>8.1487060372017</c:v>
                </c:pt>
                <c:pt idx="95">
                  <c:v>8.162932164785393</c:v>
                </c:pt>
                <c:pt idx="96">
                  <c:v>8.175869253789578</c:v>
                </c:pt>
                <c:pt idx="97">
                  <c:v>8.187515261271043</c:v>
                </c:pt>
                <c:pt idx="98">
                  <c:v>8.197868348166002</c:v>
                </c:pt>
                <c:pt idx="99">
                  <c:v>8.206926879580503</c:v>
                </c:pt>
                <c:pt idx="100">
                  <c:v>8.214689425048602</c:v>
                </c:pt>
                <c:pt idx="101">
                  <c:v>8.221154758758253</c:v>
                </c:pt>
                <c:pt idx="102">
                  <c:v>8.226321859744878</c:v>
                </c:pt>
                <c:pt idx="103">
                  <c:v>8.230189912052596</c:v>
                </c:pt>
                <c:pt idx="104">
                  <c:v>8.23275830486307</c:v>
                </c:pt>
                <c:pt idx="105">
                  <c:v>8.234026632591963</c:v>
                </c:pt>
                <c:pt idx="106">
                  <c:v>8.233994694952988</c:v>
                </c:pt>
                <c:pt idx="107">
                  <c:v>8.232662496989537</c:v>
                </c:pt>
                <c:pt idx="108">
                  <c:v>8.230030249073877</c:v>
                </c:pt>
                <c:pt idx="109">
                  <c:v>8.22609836687394</c:v>
                </c:pt>
                <c:pt idx="110">
                  <c:v>8.220867471287674</c:v>
                </c:pt>
                <c:pt idx="111">
                  <c:v>8.214338388345002</c:v>
                </c:pt>
                <c:pt idx="112">
                  <c:v>8.206512149077376</c:v>
                </c:pt>
                <c:pt idx="113">
                  <c:v>8.197389989354963</c:v>
                </c:pt>
                <c:pt idx="114">
                  <c:v>8.18697334969149</c:v>
                </c:pt>
                <c:pt idx="115">
                  <c:v>8.175263875016757</c:v>
                </c:pt>
                <c:pt idx="116">
                  <c:v>8.162263414416888</c:v>
                </c:pt>
                <c:pt idx="117">
                  <c:v>8.147974020842335</c:v>
                </c:pt>
                <c:pt idx="118">
                  <c:v>8.132397950783685</c:v>
                </c:pt>
                <c:pt idx="119">
                  <c:v>8.11553766391533</c:v>
                </c:pt>
                <c:pt idx="120">
                  <c:v>8.097395822707058</c:v>
                </c:pt>
                <c:pt idx="121">
                  <c:v>8.077975292003598</c:v>
                </c:pt>
                <c:pt idx="122">
                  <c:v>8.057279138572237</c:v>
                </c:pt>
                <c:pt idx="123">
                  <c:v>8.035310630618527</c:v>
                </c:pt>
                <c:pt idx="124">
                  <c:v>8.01207323727019</c:v>
                </c:pt>
                <c:pt idx="125">
                  <c:v>7.987570628029303</c:v>
                </c:pt>
                <c:pt idx="126">
                  <c:v>7.961806672192825</c:v>
                </c:pt>
                <c:pt idx="127">
                  <c:v>7.934785438241589</c:v>
                </c:pt>
                <c:pt idx="128">
                  <c:v>7.906511193197824</c:v>
                </c:pt>
                <c:pt idx="129">
                  <c:v>7.876988401951344</c:v>
                </c:pt>
                <c:pt idx="130">
                  <c:v>7.846221726554477</c:v>
                </c:pt>
                <c:pt idx="131">
                  <c:v>7.814216025485861</c:v>
                </c:pt>
                <c:pt idx="132">
                  <c:v>7.780976352883226</c:v>
                </c:pt>
                <c:pt idx="133">
                  <c:v>7.746507957745276</c:v>
                </c:pt>
                <c:pt idx="134">
                  <c:v>7.7108162831028</c:v>
                </c:pt>
                <c:pt idx="135">
                  <c:v>7.673906965159145</c:v>
                </c:pt>
                <c:pt idx="136">
                  <c:v>7.63578583240018</c:v>
                </c:pt>
                <c:pt idx="137">
                  <c:v>7.5964589046739</c:v>
                </c:pt>
                <c:pt idx="138">
                  <c:v>7.555932392239806</c:v>
                </c:pt>
                <c:pt idx="139">
                  <c:v>7.514212694788228</c:v>
                </c:pt>
                <c:pt idx="140">
                  <c:v>7.47130640042972</c:v>
                </c:pt>
                <c:pt idx="141">
                  <c:v>7.427220284654706</c:v>
                </c:pt>
                <c:pt idx="142">
                  <c:v>7.381961309263543</c:v>
                </c:pt>
                <c:pt idx="143">
                  <c:v>7.335536621267155</c:v>
                </c:pt>
                <c:pt idx="144">
                  <c:v>7.287953551758422</c:v>
                </c:pt>
                <c:pt idx="145">
                  <c:v>7.239219614754498</c:v>
                </c:pt>
                <c:pt idx="146">
                  <c:v>7.189342506010251</c:v>
                </c:pt>
                <c:pt idx="147">
                  <c:v>7.138330101802992</c:v>
                </c:pt>
                <c:pt idx="148">
                  <c:v>7.086190457688705</c:v>
                </c:pt>
                <c:pt idx="149">
                  <c:v>7.032931807229968</c:v>
                </c:pt>
                <c:pt idx="150">
                  <c:v>6.978562560695756</c:v>
                </c:pt>
                <c:pt idx="151">
                  <c:v>6.923091303733346</c:v>
                </c:pt>
                <c:pt idx="152">
                  <c:v>6.86652679601253</c:v>
                </c:pt>
                <c:pt idx="153">
                  <c:v>6.808877969842335</c:v>
                </c:pt>
                <c:pt idx="154">
                  <c:v>6.750153928760498</c:v>
                </c:pt>
                <c:pt idx="155">
                  <c:v>6.690363946095887</c:v>
                </c:pt>
                <c:pt idx="156">
                  <c:v>6.629517463504121</c:v>
                </c:pt>
                <c:pt idx="157">
                  <c:v>6.567624089476596</c:v>
                </c:pt>
                <c:pt idx="158">
                  <c:v>6.50469359782318</c:v>
                </c:pt>
                <c:pt idx="159">
                  <c:v>6.440735926128791</c:v>
                </c:pt>
                <c:pt idx="160">
                  <c:v>6.375761174184117</c:v>
                </c:pt>
                <c:pt idx="161">
                  <c:v>6.309779602390723</c:v>
                </c:pt>
                <c:pt idx="162">
                  <c:v>6.242801630140791</c:v>
                </c:pt>
                <c:pt idx="163">
                  <c:v>6.174837834171755</c:v>
                </c:pt>
                <c:pt idx="164">
                  <c:v>6.105898946896093</c:v>
                </c:pt>
                <c:pt idx="165">
                  <c:v>6.035995854706528</c:v>
                </c:pt>
                <c:pt idx="166">
                  <c:v>5.965139596256923</c:v>
                </c:pt>
                <c:pt idx="167">
                  <c:v>5.89334136071912</c:v>
                </c:pt>
                <c:pt idx="168">
                  <c:v>5.820612486016023</c:v>
                </c:pt>
                <c:pt idx="169">
                  <c:v>5.746964457031181</c:v>
                </c:pt>
                <c:pt idx="170">
                  <c:v>5.672408903795172</c:v>
                </c:pt>
                <c:pt idx="171">
                  <c:v>5.596957599649055</c:v>
                </c:pt>
                <c:pt idx="172">
                  <c:v>5.520622459385208</c:v>
                </c:pt>
                <c:pt idx="173">
                  <c:v>5.443415537365809</c:v>
                </c:pt>
                <c:pt idx="174">
                  <c:v>5.365349025619299</c:v>
                </c:pt>
                <c:pt idx="175">
                  <c:v>5.286435251915082</c:v>
                </c:pt>
                <c:pt idx="176">
                  <c:v>5.206686677816811</c:v>
                </c:pt>
                <c:pt idx="177">
                  <c:v>5.126115896714532</c:v>
                </c:pt>
                <c:pt idx="178">
                  <c:v>5.044735631836018</c:v>
                </c:pt>
                <c:pt idx="179">
                  <c:v>4.962558734237596</c:v>
                </c:pt>
                <c:pt idx="180">
                  <c:v>4.879598180774787</c:v>
                </c:pt>
                <c:pt idx="181">
                  <c:v>4.795867072053091</c:v>
                </c:pt>
                <c:pt idx="182">
                  <c:v>4.711378630359213</c:v>
                </c:pt>
                <c:pt idx="183">
                  <c:v>4.626146197573088</c:v>
                </c:pt>
                <c:pt idx="184">
                  <c:v>4.540183233061017</c:v>
                </c:pt>
                <c:pt idx="185">
                  <c:v>4.453503311550244</c:v>
                </c:pt>
                <c:pt idx="186">
                  <c:v>4.36612012098533</c:v>
                </c:pt>
                <c:pt idx="187">
                  <c:v>4.278047460366626</c:v>
                </c:pt>
                <c:pt idx="188">
                  <c:v>4.189299237571237</c:v>
                </c:pt>
                <c:pt idx="189">
                  <c:v>4.099889467156767</c:v>
                </c:pt>
                <c:pt idx="190">
                  <c:v>4.009832268148231</c:v>
                </c:pt>
                <c:pt idx="191">
                  <c:v>3.919141861808474</c:v>
                </c:pt>
                <c:pt idx="192">
                  <c:v>3.827832569392432</c:v>
                </c:pt>
                <c:pt idx="193">
                  <c:v>3.735918809885613</c:v>
                </c:pt>
                <c:pt idx="194">
                  <c:v>3.643415097727145</c:v>
                </c:pt>
                <c:pt idx="195">
                  <c:v>3.55033604051774</c:v>
                </c:pt>
                <c:pt idx="196">
                  <c:v>3.456696336712961</c:v>
                </c:pt>
                <c:pt idx="197">
                  <c:v>3.362510773302134</c:v>
                </c:pt>
                <c:pt idx="198">
                  <c:v>3.267794223473276</c:v>
                </c:pt>
                <c:pt idx="199">
                  <c:v>3.172561644264422</c:v>
                </c:pt>
                <c:pt idx="200">
                  <c:v>3.076828074201695</c:v>
                </c:pt>
                <c:pt idx="201">
                  <c:v>2.980608630924528</c:v>
                </c:pt>
                <c:pt idx="202">
                  <c:v>2.883918508798374</c:v>
                </c:pt>
                <c:pt idx="203">
                  <c:v>2.786772976515311</c:v>
                </c:pt>
                <c:pt idx="204">
                  <c:v>2.689187374682906</c:v>
                </c:pt>
                <c:pt idx="205">
                  <c:v>2.591177113401724</c:v>
                </c:pt>
                <c:pt idx="206">
                  <c:v>2.492757669831864</c:v>
                </c:pt>
                <c:pt idx="207">
                  <c:v>2.3939445857489</c:v>
                </c:pt>
                <c:pt idx="208">
                  <c:v>2.294753465089624</c:v>
                </c:pt>
                <c:pt idx="209">
                  <c:v>2.195199971487972</c:v>
                </c:pt>
                <c:pt idx="210">
                  <c:v>2.095299825801523</c:v>
                </c:pt>
                <c:pt idx="211">
                  <c:v>1.995068803628956</c:v>
                </c:pt>
                <c:pt idx="212">
                  <c:v>1.894522732818873</c:v>
                </c:pt>
                <c:pt idx="213">
                  <c:v>1.793677490970361</c:v>
                </c:pt>
                <c:pt idx="214">
                  <c:v>1.692549002925705</c:v>
                </c:pt>
                <c:pt idx="215">
                  <c:v>1.591153238255636</c:v>
                </c:pt>
                <c:pt idx="216">
                  <c:v>1.489506208737517</c:v>
                </c:pt>
                <c:pt idx="217">
                  <c:v>1.387623965826866</c:v>
                </c:pt>
                <c:pt idx="218">
                  <c:v>1.285522598122613</c:v>
                </c:pt>
                <c:pt idx="219">
                  <c:v>1.183218228826486</c:v>
                </c:pt>
                <c:pt idx="220">
                  <c:v>1.08072701319694</c:v>
                </c:pt>
                <c:pt idx="221">
                  <c:v>0.978065135998021</c:v>
                </c:pt>
                <c:pt idx="222">
                  <c:v>0.875248808943569</c:v>
                </c:pt>
                <c:pt idx="223">
                  <c:v>0.772294268137168</c:v>
                </c:pt>
                <c:pt idx="224">
                  <c:v>0.669217771508243</c:v>
                </c:pt>
                <c:pt idx="225">
                  <c:v>0.566035596244711</c:v>
                </c:pt>
                <c:pt idx="226">
                  <c:v>0.462764036222589</c:v>
                </c:pt>
                <c:pt idx="227">
                  <c:v>0.35941939943297</c:v>
                </c:pt>
                <c:pt idx="228">
                  <c:v>0.256018005406767</c:v>
                </c:pt>
                <c:pt idx="229">
                  <c:v>0.152576182637638</c:v>
                </c:pt>
                <c:pt idx="230">
                  <c:v>0.0491102660034897</c:v>
                </c:pt>
                <c:pt idx="231">
                  <c:v>-0.0543634058130182</c:v>
                </c:pt>
                <c:pt idx="232">
                  <c:v>-0.157828492904578</c:v>
                </c:pt>
                <c:pt idx="233">
                  <c:v>-0.261268656719526</c:v>
                </c:pt>
                <c:pt idx="234">
                  <c:v>-0.364667562641927</c:v>
                </c:pt>
                <c:pt idx="235">
                  <c:v>-0.468008882571029</c:v>
                </c:pt>
                <c:pt idx="236">
                  <c:v>-0.571276297499697</c:v>
                </c:pt>
                <c:pt idx="237">
                  <c:v>-0.674453500091403</c:v>
                </c:pt>
                <c:pt idx="238">
                  <c:v>-0.777524197255384</c:v>
                </c:pt>
                <c:pt idx="239">
                  <c:v>-0.880472112719539</c:v>
                </c:pt>
                <c:pt idx="240">
                  <c:v>-0.983280989600674</c:v>
                </c:pt>
                <c:pt idx="241">
                  <c:v>-1.085934592971689</c:v>
                </c:pt>
                <c:pt idx="242">
                  <c:v>-1.188416712425294</c:v>
                </c:pt>
                <c:pt idx="243">
                  <c:v>-1.290711164633855</c:v>
                </c:pt>
                <c:pt idx="244">
                  <c:v>-1.39280179590496</c:v>
                </c:pt>
                <c:pt idx="245">
                  <c:v>-1.49467248473231</c:v>
                </c:pt>
                <c:pt idx="246">
                  <c:v>-1.596307144341524</c:v>
                </c:pt>
                <c:pt idx="247">
                  <c:v>-1.697689725230461</c:v>
                </c:pt>
                <c:pt idx="248">
                  <c:v>-1.798804217703657</c:v>
                </c:pt>
                <c:pt idx="249">
                  <c:v>-1.899634654400474</c:v>
                </c:pt>
                <c:pt idx="250">
                  <c:v>-2.000165112816561</c:v>
                </c:pt>
                <c:pt idx="251">
                  <c:v>-2.100379717818243</c:v>
                </c:pt>
                <c:pt idx="252">
                  <c:v>-2.200262644149414</c:v>
                </c:pt>
                <c:pt idx="253">
                  <c:v>-2.299798118930565</c:v>
                </c:pt>
                <c:pt idx="254">
                  <c:v>-2.398970424149536</c:v>
                </c:pt>
                <c:pt idx="255">
                  <c:v>-2.497763899143607</c:v>
                </c:pt>
                <c:pt idx="256">
                  <c:v>-2.596162943072529</c:v>
                </c:pt>
                <c:pt idx="257">
                  <c:v>-2.694152017382108</c:v>
                </c:pt>
                <c:pt idx="258">
                  <c:v>-2.79171564825796</c:v>
                </c:pt>
                <c:pt idx="259">
                  <c:v>-2.888838429069032</c:v>
                </c:pt>
                <c:pt idx="260">
                  <c:v>-2.985505022800529</c:v>
                </c:pt>
                <c:pt idx="261">
                  <c:v>-3.081700164475825</c:v>
                </c:pt>
                <c:pt idx="262">
                  <c:v>-3.177408663567023</c:v>
                </c:pt>
                <c:pt idx="263">
                  <c:v>-3.27261540639374</c:v>
                </c:pt>
                <c:pt idx="264">
                  <c:v>-3.36730535850977</c:v>
                </c:pt>
                <c:pt idx="265">
                  <c:v>-3.461463567077221</c:v>
                </c:pt>
                <c:pt idx="266">
                  <c:v>-3.555075163227778</c:v>
                </c:pt>
                <c:pt idx="267">
                  <c:v>-3.6481253644107</c:v>
                </c:pt>
                <c:pt idx="268">
                  <c:v>-3.740599476727186</c:v>
                </c:pt>
                <c:pt idx="269">
                  <c:v>-3.83248289725074</c:v>
                </c:pt>
                <c:pt idx="270">
                  <c:v>-3.923761116333177</c:v>
                </c:pt>
                <c:pt idx="271">
                  <c:v>-4.014419719895892</c:v>
                </c:pt>
                <c:pt idx="272">
                  <c:v>-4.104444391706043</c:v>
                </c:pt>
                <c:pt idx="273">
                  <c:v>-4.193820915637275</c:v>
                </c:pt>
                <c:pt idx="274">
                  <c:v>-4.282535177914646</c:v>
                </c:pt>
                <c:pt idx="275">
                  <c:v>-4.37057316934338</c:v>
                </c:pt>
                <c:pt idx="276">
                  <c:v>-4.457920987521116</c:v>
                </c:pt>
                <c:pt idx="277">
                  <c:v>-4.544564839033281</c:v>
                </c:pt>
                <c:pt idx="278">
                  <c:v>-4.630491041631264</c:v>
                </c:pt>
                <c:pt idx="279">
                  <c:v>-4.715686026393029</c:v>
                </c:pt>
                <c:pt idx="280">
                  <c:v>-4.800136339865829</c:v>
                </c:pt>
                <c:pt idx="281">
                  <c:v>-4.883828646190697</c:v>
                </c:pt>
                <c:pt idx="282">
                  <c:v>-4.966749729208355</c:v>
                </c:pt>
                <c:pt idx="283">
                  <c:v>-5.04888649454623</c:v>
                </c:pt>
                <c:pt idx="284">
                  <c:v>-5.130225971686229</c:v>
                </c:pt>
                <c:pt idx="285">
                  <c:v>-5.210755316012968</c:v>
                </c:pt>
                <c:pt idx="286">
                  <c:v>-5.29046181084211</c:v>
                </c:pt>
                <c:pt idx="287">
                  <c:v>-5.369332869428497</c:v>
                </c:pt>
                <c:pt idx="288">
                  <c:v>-5.447356036953781</c:v>
                </c:pt>
                <c:pt idx="289">
                  <c:v>-5.524518992493197</c:v>
                </c:pt>
                <c:pt idx="290">
                  <c:v>-5.600809550961219</c:v>
                </c:pt>
                <c:pt idx="291">
                  <c:v>-5.676215665035739</c:v>
                </c:pt>
                <c:pt idx="292">
                  <c:v>-5.750725427060513</c:v>
                </c:pt>
                <c:pt idx="293">
                  <c:v>-5.824327070925537</c:v>
                </c:pt>
                <c:pt idx="294">
                  <c:v>-5.897008973925079</c:v>
                </c:pt>
                <c:pt idx="295">
                  <c:v>-5.968759658593064</c:v>
                </c:pt>
                <c:pt idx="296">
                  <c:v>-6.03956779451552</c:v>
                </c:pt>
                <c:pt idx="297">
                  <c:v>-6.109422200119813</c:v>
                </c:pt>
                <c:pt idx="298">
                  <c:v>-6.178311844440352</c:v>
                </c:pt>
                <c:pt idx="299">
                  <c:v>-6.246225848860553</c:v>
                </c:pt>
                <c:pt idx="300">
                  <c:v>-6.313153488830704</c:v>
                </c:pt>
                <c:pt idx="301">
                  <c:v>-6.379084195561525</c:v>
                </c:pt>
                <c:pt idx="302">
                  <c:v>-6.444007557693124</c:v>
                </c:pt>
                <c:pt idx="303">
                  <c:v>-6.507913322939089</c:v>
                </c:pt>
                <c:pt idx="304">
                  <c:v>-6.57079139970547</c:v>
                </c:pt>
                <c:pt idx="305">
                  <c:v>-6.632631858684377</c:v>
                </c:pt>
                <c:pt idx="306">
                  <c:v>-6.693424934421951</c:v>
                </c:pt>
                <c:pt idx="307">
                  <c:v>-6.753161026860467</c:v>
                </c:pt>
                <c:pt idx="308">
                  <c:v>-6.811830702854312</c:v>
                </c:pt>
                <c:pt idx="309">
                  <c:v>-6.869424697659607</c:v>
                </c:pt>
                <c:pt idx="310">
                  <c:v>-6.925933916397239</c:v>
                </c:pt>
                <c:pt idx="311">
                  <c:v>-6.981349435489063</c:v>
                </c:pt>
                <c:pt idx="312">
                  <c:v>-7.035662504067063</c:v>
                </c:pt>
                <c:pt idx="313">
                  <c:v>-7.088864545355227</c:v>
                </c:pt>
                <c:pt idx="314">
                  <c:v>-7.140947158023942</c:v>
                </c:pt>
                <c:pt idx="315">
                  <c:v>-7.191902117516677</c:v>
                </c:pt>
                <c:pt idx="316">
                  <c:v>-7.241721377348751</c:v>
                </c:pt>
                <c:pt idx="317">
                  <c:v>-7.290397070377988</c:v>
                </c:pt>
                <c:pt idx="318">
                  <c:v>-7.337921510047042</c:v>
                </c:pt>
                <c:pt idx="319">
                  <c:v>-7.384287191597209</c:v>
                </c:pt>
                <c:pt idx="320">
                  <c:v>-7.429486793253533</c:v>
                </c:pt>
                <c:pt idx="321">
                  <c:v>-7.473513177381019</c:v>
                </c:pt>
                <c:pt idx="322">
                  <c:v>-7.51635939161175</c:v>
                </c:pt>
                <c:pt idx="323">
                  <c:v>-7.558018669942776</c:v>
                </c:pt>
                <c:pt idx="324">
                  <c:v>-7.598484433804548</c:v>
                </c:pt>
                <c:pt idx="325">
                  <c:v>-7.637750293099767</c:v>
                </c:pt>
                <c:pt idx="326">
                  <c:v>-7.675810047212471</c:v>
                </c:pt>
                <c:pt idx="327">
                  <c:v>-7.712657685987193</c:v>
                </c:pt>
                <c:pt idx="328">
                  <c:v>-7.748287390678048</c:v>
                </c:pt>
                <c:pt idx="329">
                  <c:v>-7.782693534867592</c:v>
                </c:pt>
                <c:pt idx="330">
                  <c:v>-7.815870685355311</c:v>
                </c:pt>
                <c:pt idx="331">
                  <c:v>-7.847813603015597</c:v>
                </c:pt>
                <c:pt idx="332">
                  <c:v>-7.87851724362508</c:v>
                </c:pt>
                <c:pt idx="333">
                  <c:v>-7.907976758659174</c:v>
                </c:pt>
                <c:pt idx="334">
                  <c:v>-7.936187496057733</c:v>
                </c:pt>
                <c:pt idx="335">
                  <c:v>-7.963145000959668</c:v>
                </c:pt>
                <c:pt idx="336">
                  <c:v>-7.988845016406437</c:v>
                </c:pt>
                <c:pt idx="337">
                  <c:v>-8.013283484014268</c:v>
                </c:pt>
                <c:pt idx="338">
                  <c:v>-8.03645654461504</c:v>
                </c:pt>
                <c:pt idx="339">
                  <c:v>-8.058360538865706</c:v>
                </c:pt>
                <c:pt idx="340">
                  <c:v>-8.078992007826132</c:v>
                </c:pt>
                <c:pt idx="341">
                  <c:v>-8.098347693505328</c:v>
                </c:pt>
                <c:pt idx="342">
                  <c:v>-8.116424539375927</c:v>
                </c:pt>
                <c:pt idx="343">
                  <c:v>-8.133219690856848</c:v>
                </c:pt>
                <c:pt idx="344">
                  <c:v>-8.148730495764072</c:v>
                </c:pt>
                <c:pt idx="345">
                  <c:v>-8.162954504729468</c:v>
                </c:pt>
                <c:pt idx="346">
                  <c:v>-8.175889471587572</c:v>
                </c:pt>
                <c:pt idx="347">
                  <c:v>-8.18753335373029</c:v>
                </c:pt>
                <c:pt idx="348">
                  <c:v>-8.197884312429456</c:v>
                </c:pt>
                <c:pt idx="349">
                  <c:v>-8.206940713127188</c:v>
                </c:pt>
                <c:pt idx="350">
                  <c:v>-8.214701125694013</c:v>
                </c:pt>
                <c:pt idx="351">
                  <c:v>-8.221164324654698</c:v>
                </c:pt>
                <c:pt idx="352">
                  <c:v>-8.22632928938177</c:v>
                </c:pt>
                <c:pt idx="353">
                  <c:v>-8.230195204256693</c:v>
                </c:pt>
                <c:pt idx="354">
                  <c:v>-8.232761458798661</c:v>
                </c:pt>
                <c:pt idx="355">
                  <c:v>-8.234027647761</c:v>
                </c:pt>
                <c:pt idx="356">
                  <c:v>-8.23399357119516</c:v>
                </c:pt>
                <c:pt idx="357">
                  <c:v>-8.2326592344823</c:v>
                </c:pt>
                <c:pt idx="358">
                  <c:v>-8.230024848332429</c:v>
                </c:pt>
                <c:pt idx="359">
                  <c:v>-8.226090828751129</c:v>
                </c:pt>
                <c:pt idx="360">
                  <c:v>-8.220857796973874</c:v>
                </c:pt>
                <c:pt idx="361">
                  <c:v>-8.21432657936792</c:v>
                </c:pt>
                <c:pt idx="362">
                  <c:v>-8.20649820730181</c:v>
                </c:pt>
                <c:pt idx="363">
                  <c:v>-8.197373916982512</c:v>
                </c:pt>
                <c:pt idx="364">
                  <c:v>-8.186955149260198</c:v>
                </c:pt>
                <c:pt idx="365">
                  <c:v>-8.175243549400722</c:v>
                </c:pt>
                <c:pt idx="366">
                  <c:v>-8.162240966825804</c:v>
                </c:pt>
                <c:pt idx="367">
                  <c:v>-8.147949454820983</c:v>
                </c:pt>
                <c:pt idx="368">
                  <c:v>-8.132371270211376</c:v>
                </c:pt>
                <c:pt idx="369">
                  <c:v>-8.11550887300529</c:v>
                </c:pt>
                <c:pt idx="370">
                  <c:v>-8.097364926005765</c:v>
                </c:pt>
                <c:pt idx="371">
                  <c:v>-8.077942294390064</c:v>
                </c:pt>
                <c:pt idx="372">
                  <c:v>-8.057244045257236</c:v>
                </c:pt>
                <c:pt idx="373">
                  <c:v>-8.035273447143773</c:v>
                </c:pt>
                <c:pt idx="374">
                  <c:v>-8.012033969507463</c:v>
                </c:pt>
                <c:pt idx="375">
                  <c:v>-7.98752928217952</c:v>
                </c:pt>
                <c:pt idx="376">
                  <c:v>-7.96176325478506</c:v>
                </c:pt>
                <c:pt idx="377">
                  <c:v>-7.934739956132041</c:v>
                </c:pt>
                <c:pt idx="378">
                  <c:v>-7.906463653568743</c:v>
                </c:pt>
                <c:pt idx="379">
                  <c:v>-7.876938812309889</c:v>
                </c:pt>
                <c:pt idx="380">
                  <c:v>-7.846170094731528</c:v>
                </c:pt>
                <c:pt idx="381">
                  <c:v>-7.814162359634789</c:v>
                </c:pt>
                <c:pt idx="382">
                  <c:v>-7.780920661478603</c:v>
                </c:pt>
                <c:pt idx="383">
                  <c:v>-7.746450249581535</c:v>
                </c:pt>
                <c:pt idx="384">
                  <c:v>-7.71075656729285</c:v>
                </c:pt>
                <c:pt idx="385">
                  <c:v>-7.673845251132929</c:v>
                </c:pt>
                <c:pt idx="386">
                  <c:v>-7.635722129903185</c:v>
                </c:pt>
                <c:pt idx="387">
                  <c:v>-7.596393223765621</c:v>
                </c:pt>
                <c:pt idx="388">
                  <c:v>-7.55586474329216</c:v>
                </c:pt>
                <c:pt idx="389">
                  <c:v>-7.514143088483905</c:v>
                </c:pt>
                <c:pt idx="390">
                  <c:v>-7.471234847760507</c:v>
                </c:pt>
                <c:pt idx="391">
                  <c:v>-7.427146796919748</c:v>
                </c:pt>
                <c:pt idx="392">
                  <c:v>-7.381885898067559</c:v>
                </c:pt>
                <c:pt idx="393">
                  <c:v>-7.335459298518604</c:v>
                </c:pt>
                <c:pt idx="394">
                  <c:v>-7.287874329667622</c:v>
                </c:pt>
                <c:pt idx="395">
                  <c:v>-7.2391385058317</c:v>
                </c:pt>
                <c:pt idx="396">
                  <c:v>-7.189259523063663</c:v>
                </c:pt>
                <c:pt idx="397">
                  <c:v>-7.138245257936756</c:v>
                </c:pt>
                <c:pt idx="398">
                  <c:v>-7.086103766300827</c:v>
                </c:pt>
                <c:pt idx="399">
                  <c:v>-7.032843282010204</c:v>
                </c:pt>
                <c:pt idx="400">
                  <c:v>-6.978472215623447</c:v>
                </c:pt>
                <c:pt idx="401">
                  <c:v>-6.922999153075216</c:v>
                </c:pt>
                <c:pt idx="402">
                  <c:v>-6.866432854320426</c:v>
                </c:pt>
                <c:pt idx="403">
                  <c:v>-6.808782251950936</c:v>
                </c:pt>
                <c:pt idx="404">
                  <c:v>-6.750056449784966</c:v>
                </c:pt>
                <c:pt idx="405">
                  <c:v>-6.690264721429487</c:v>
                </c:pt>
                <c:pt idx="406">
                  <c:v>-6.629416508815781</c:v>
                </c:pt>
                <c:pt idx="407">
                  <c:v>-6.567521420708443</c:v>
                </c:pt>
                <c:pt idx="408">
                  <c:v>-6.504589231188016</c:v>
                </c:pt>
                <c:pt idx="409">
                  <c:v>-6.440629878107534</c:v>
                </c:pt>
                <c:pt idx="410">
                  <c:v>-6.3756534615232</c:v>
                </c:pt>
                <c:pt idx="411">
                  <c:v>-6.309670242099449</c:v>
                </c:pt>
                <c:pt idx="412">
                  <c:v>-6.242690639488642</c:v>
                </c:pt>
                <c:pt idx="413">
                  <c:v>-6.174725230685674</c:v>
                </c:pt>
                <c:pt idx="414">
                  <c:v>-6.105784748357709</c:v>
                </c:pt>
                <c:pt idx="415">
                  <c:v>-6.035880079149353</c:v>
                </c:pt>
                <c:pt idx="416">
                  <c:v>-5.965022261963497</c:v>
                </c:pt>
                <c:pt idx="417">
                  <c:v>-5.893222486218133</c:v>
                </c:pt>
                <c:pt idx="418">
                  <c:v>-5.820492090079385</c:v>
                </c:pt>
                <c:pt idx="419">
                  <c:v>-5.746842558671057</c:v>
                </c:pt>
                <c:pt idx="420">
                  <c:v>-5.672285522260978</c:v>
                </c:pt>
                <c:pt idx="421">
                  <c:v>-5.596832754424422</c:v>
                </c:pt>
                <c:pt idx="422">
                  <c:v>-5.520496170184904</c:v>
                </c:pt>
                <c:pt idx="423">
                  <c:v>-5.443287824132625</c:v>
                </c:pt>
                <c:pt idx="424">
                  <c:v>-5.365219908520901</c:v>
                </c:pt>
                <c:pt idx="425">
                  <c:v>-5.286304751340824</c:v>
                </c:pt>
                <c:pt idx="426">
                  <c:v>-5.206554814374519</c:v>
                </c:pt>
                <c:pt idx="427">
                  <c:v>-5.125982691227246</c:v>
                </c:pt>
                <c:pt idx="428">
                  <c:v>-5.044601105338704</c:v>
                </c:pt>
                <c:pt idx="429">
                  <c:v>-4.962422907973826</c:v>
                </c:pt>
                <c:pt idx="430">
                  <c:v>-4.879461076193388</c:v>
                </c:pt>
                <c:pt idx="431">
                  <c:v>-4.795728710804748</c:v>
                </c:pt>
                <c:pt idx="432">
                  <c:v>-4.71123903429306</c:v>
                </c:pt>
                <c:pt idx="433">
                  <c:v>-4.626005388733252</c:v>
                </c:pt>
                <c:pt idx="434">
                  <c:v>-4.540041233683138</c:v>
                </c:pt>
                <c:pt idx="435">
                  <c:v>-4.453360144057967</c:v>
                </c:pt>
                <c:pt idx="436">
                  <c:v>-4.365975807986757</c:v>
                </c:pt>
                <c:pt idx="437">
                  <c:v>-4.277902024650754</c:v>
                </c:pt>
                <c:pt idx="438">
                  <c:v>-4.189152702104353</c:v>
                </c:pt>
                <c:pt idx="439">
                  <c:v>-4.099741855078823</c:v>
                </c:pt>
                <c:pt idx="440">
                  <c:v>-4.009683602769194</c:v>
                </c:pt>
                <c:pt idx="441">
                  <c:v>-3.918992166604639</c:v>
                </c:pt>
                <c:pt idx="442">
                  <c:v>-3.827681868002718</c:v>
                </c:pt>
                <c:pt idx="443">
                  <c:v>-3.735767126107831</c:v>
                </c:pt>
                <c:pt idx="444">
                  <c:v>-3.643262455514235</c:v>
                </c:pt>
                <c:pt idx="445">
                  <c:v>-3.550182463973995</c:v>
                </c:pt>
                <c:pt idx="446">
                  <c:v>-3.456541850090217</c:v>
                </c:pt>
                <c:pt idx="447">
                  <c:v>-3.36235540099594</c:v>
                </c:pt>
                <c:pt idx="448">
                  <c:v>-3.267637990019044</c:v>
                </c:pt>
                <c:pt idx="449">
                  <c:v>-3.172404574333548</c:v>
                </c:pt>
                <c:pt idx="450">
                  <c:v>-3.07667019259767</c:v>
                </c:pt>
                <c:pt idx="451">
                  <c:v>-2.980449962579016</c:v>
                </c:pt>
                <c:pt idx="452">
                  <c:v>-2.883759078767275</c:v>
                </c:pt>
                <c:pt idx="453">
                  <c:v>-2.786612809974806</c:v>
                </c:pt>
                <c:pt idx="454">
                  <c:v>-2.689026496925482</c:v>
                </c:pt>
                <c:pt idx="455">
                  <c:v>-2.591015549832179</c:v>
                </c:pt>
                <c:pt idx="456">
                  <c:v>-2.492595445963293</c:v>
                </c:pt>
                <c:pt idx="457">
                  <c:v>-2.393781727198669</c:v>
                </c:pt>
                <c:pt idx="458">
                  <c:v>-2.294589997575326</c:v>
                </c:pt>
                <c:pt idx="459">
                  <c:v>-2.195035920823361</c:v>
                </c:pt>
                <c:pt idx="460">
                  <c:v>-2.095135217892442</c:v>
                </c:pt>
                <c:pt idx="461">
                  <c:v>-1.994903664469244</c:v>
                </c:pt>
                <c:pt idx="462">
                  <c:v>-1.894357088486261</c:v>
                </c:pt>
                <c:pt idx="463">
                  <c:v>-1.793511367622354</c:v>
                </c:pt>
                <c:pt idx="464">
                  <c:v>-1.69238242679545</c:v>
                </c:pt>
                <c:pt idx="465">
                  <c:v>-1.590986235647781</c:v>
                </c:pt>
                <c:pt idx="466">
                  <c:v>-1.489338806024057</c:v>
                </c:pt>
                <c:pt idx="467">
                  <c:v>-1.387456189442979</c:v>
                </c:pt>
                <c:pt idx="468">
                  <c:v>-1.285354474562482</c:v>
                </c:pt>
                <c:pt idx="469">
                  <c:v>-1.18304978463912</c:v>
                </c:pt>
                <c:pt idx="470">
                  <c:v>-1.080558274981979</c:v>
                </c:pt>
                <c:pt idx="471">
                  <c:v>-0.977896130401535</c:v>
                </c:pt>
                <c:pt idx="472">
                  <c:v>-0.875079562653853</c:v>
                </c:pt>
                <c:pt idx="473">
                  <c:v>-0.772124807880525</c:v>
                </c:pt>
                <c:pt idx="474">
                  <c:v>-0.669048124044764</c:v>
                </c:pt>
                <c:pt idx="475">
                  <c:v>-0.56586578836405</c:v>
                </c:pt>
                <c:pt idx="476">
                  <c:v>-0.462594094739731</c:v>
                </c:pt>
                <c:pt idx="477">
                  <c:v>-0.359249351183998</c:v>
                </c:pt>
                <c:pt idx="478">
                  <c:v>-0.255847877244625</c:v>
                </c:pt>
                <c:pt idx="479">
                  <c:v>-0.152406001427887</c:v>
                </c:pt>
                <c:pt idx="480">
                  <c:v>-0.0489400586200709</c:v>
                </c:pt>
                <c:pt idx="481">
                  <c:v>0.0545336124920328</c:v>
                </c:pt>
                <c:pt idx="482">
                  <c:v>0.157998672001227</c:v>
                </c:pt>
                <c:pt idx="483">
                  <c:v>0.261438781360204</c:v>
                </c:pt>
                <c:pt idx="484">
                  <c:v>0.364837605961627</c:v>
                </c:pt>
                <c:pt idx="485">
                  <c:v>0.468178817717586</c:v>
                </c:pt>
                <c:pt idx="486">
                  <c:v>0.571446097638028</c:v>
                </c:pt>
                <c:pt idx="487">
                  <c:v>0.674623138407746</c:v>
                </c:pt>
                <c:pt idx="488">
                  <c:v>0.77769364696153</c:v>
                </c:pt>
                <c:pt idx="489">
                  <c:v>0.880641347057062</c:v>
                </c:pt>
                <c:pt idx="490">
                  <c:v>0.983449981845158</c:v>
                </c:pt>
                <c:pt idx="491">
                  <c:v>1.08610331643695</c:v>
                </c:pt>
                <c:pt idx="492">
                  <c:v>1.18858514046759</c:v>
                </c:pt>
                <c:pt idx="493">
                  <c:v>1.290879270656096</c:v>
                </c:pt>
                <c:pt idx="494">
                  <c:v>1.392969553360906</c:v>
                </c:pt>
                <c:pt idx="495">
                  <c:v>1.494839867130766</c:v>
                </c:pt>
                <c:pt idx="496">
                  <c:v>1.59647412525052</c:v>
                </c:pt>
                <c:pt idx="497">
                  <c:v>1.69785627828143</c:v>
                </c:pt>
                <c:pt idx="498">
                  <c:v>1.798970316595595</c:v>
                </c:pt>
                <c:pt idx="499">
                  <c:v>1.899800272904094</c:v>
                </c:pt>
                <c:pt idx="500">
                  <c:v>2.00033022477844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0651712"/>
        <c:axId val="-1068946512"/>
      </c:scatterChart>
      <c:valAx>
        <c:axId val="-101065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8946512"/>
        <c:crosses val="autoZero"/>
        <c:crossBetween val="midCat"/>
      </c:valAx>
      <c:valAx>
        <c:axId val="-10689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065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Analytical Position over</a:t>
            </a:r>
            <a:r>
              <a:rPr lang="en-US" baseline="0"/>
              <a:t> Time*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Steps'!$B$2:$B$502</c:f>
              <c:numCache>
                <c:formatCode>General</c:formatCode>
                <c:ptCount val="501"/>
                <c:pt idx="0">
                  <c:v>2</c:v>
                </c:pt>
                <c:pt idx="1">
                  <c:v>2.100370407474452</c:v>
                </c:pt>
                <c:pt idx="2">
                  <c:v>2.200409142113299</c:v>
                </c:pt>
                <c:pt idx="3">
                  <c:v>2.300100406640654</c:v>
                </c:pt>
                <c:pt idx="4">
                  <c:v>2.399428458650191</c:v>
                </c:pt>
                <c:pt idx="5">
                  <c:v>2.49837761309105</c:v>
                </c:pt>
                <c:pt idx="6">
                  <c:v>2.596932244744689</c:v>
                </c:pt>
                <c:pt idx="7">
                  <c:v>2.69507679069229</c:v>
                </c:pt>
                <c:pt idx="8">
                  <c:v>2.792795752772318</c:v>
                </c:pt>
                <c:pt idx="9">
                  <c:v>2.89007370002787</c:v>
                </c:pt>
                <c:pt idx="10">
                  <c:v>2.986895271143389</c:v>
                </c:pt>
                <c:pt idx="11">
                  <c:v>3.083245176870407</c:v>
                </c:pt>
                <c:pt idx="12">
                  <c:v>3.179108202441884</c:v>
                </c:pt>
                <c:pt idx="13">
                  <c:v>3.274469209974804</c:v>
                </c:pt>
                <c:pt idx="14">
                  <c:v>3.369313140860618</c:v>
                </c:pt>
                <c:pt idx="15">
                  <c:v>3.463625018143174</c:v>
                </c:pt>
                <c:pt idx="16">
                  <c:v>3.55738994888375</c:v>
                </c:pt>
                <c:pt idx="17">
                  <c:v>3.650593126512823</c:v>
                </c:pt>
                <c:pt idx="18">
                  <c:v>3.743219833168203</c:v>
                </c:pt>
                <c:pt idx="19">
                  <c:v>3.835255442019144</c:v>
                </c:pt>
                <c:pt idx="20">
                  <c:v>3.9266854195761</c:v>
                </c:pt>
                <c:pt idx="21">
                  <c:v>4.017495327985722</c:v>
                </c:pt>
                <c:pt idx="22">
                  <c:v>4.107670827310773</c:v>
                </c:pt>
                <c:pt idx="23">
                  <c:v>4.19719767779456</c:v>
                </c:pt>
                <c:pt idx="24">
                  <c:v>4.286061742109565</c:v>
                </c:pt>
                <c:pt idx="25">
                  <c:v>4.374248987589885</c:v>
                </c:pt>
                <c:pt idx="26">
                  <c:v>4.461745488447164</c:v>
                </c:pt>
                <c:pt idx="27">
                  <c:v>4.548537427969621</c:v>
                </c:pt>
                <c:pt idx="28">
                  <c:v>4.634611100703884</c:v>
                </c:pt>
                <c:pt idx="29">
                  <c:v>4.719952914619228</c:v>
                </c:pt>
                <c:pt idx="30">
                  <c:v>4.804549393253926</c:v>
                </c:pt>
                <c:pt idx="31">
                  <c:v>4.888387177843324</c:v>
                </c:pt>
                <c:pt idx="32">
                  <c:v>4.971453029429358</c:v>
                </c:pt>
                <c:pt idx="33">
                  <c:v>5.053733830951135</c:v>
                </c:pt>
                <c:pt idx="34">
                  <c:v>5.135216589316263</c:v>
                </c:pt>
                <c:pt idx="35">
                  <c:v>5.21588843745262</c:v>
                </c:pt>
                <c:pt idx="36">
                  <c:v>5.295736636340205</c:v>
                </c:pt>
                <c:pt idx="37">
                  <c:v>5.374748577022784</c:v>
                </c:pt>
                <c:pt idx="38">
                  <c:v>5.452911782598991</c:v>
                </c:pt>
                <c:pt idx="39">
                  <c:v>5.530213910192565</c:v>
                </c:pt>
                <c:pt idx="40">
                  <c:v>5.606642752901448</c:v>
                </c:pt>
                <c:pt idx="41">
                  <c:v>5.682186241725383</c:v>
                </c:pt>
                <c:pt idx="42">
                  <c:v>5.756832447471757</c:v>
                </c:pt>
                <c:pt idx="43">
                  <c:v>5.830569582639355</c:v>
                </c:pt>
                <c:pt idx="44">
                  <c:v>5.90338600327975</c:v>
                </c:pt>
                <c:pt idx="45">
                  <c:v>5.975270210836003</c:v>
                </c:pt>
                <c:pt idx="46">
                  <c:v>6.046210853958435</c:v>
                </c:pt>
                <c:pt idx="47">
                  <c:v>6.116196730297128</c:v>
                </c:pt>
                <c:pt idx="48">
                  <c:v>6.185216788270906</c:v>
                </c:pt>
                <c:pt idx="49">
                  <c:v>6.253260128812507</c:v>
                </c:pt>
                <c:pt idx="50">
                  <c:v>6.320316007089679</c:v>
                </c:pt>
                <c:pt idx="51">
                  <c:v>6.386373834201904</c:v>
                </c:pt>
                <c:pt idx="52">
                  <c:v>6.451423178852512</c:v>
                </c:pt>
                <c:pt idx="53">
                  <c:v>6.515453768995912</c:v>
                </c:pt>
                <c:pt idx="54">
                  <c:v>6.57845549345965</c:v>
                </c:pt>
                <c:pt idx="55">
                  <c:v>6.640418403541095</c:v>
                </c:pt>
                <c:pt idx="56">
                  <c:v>6.70133271457845</c:v>
                </c:pt>
                <c:pt idx="57">
                  <c:v>6.761188807495858</c:v>
                </c:pt>
                <c:pt idx="58">
                  <c:v>6.819977230322376</c:v>
                </c:pt>
                <c:pt idx="59">
                  <c:v>6.877688699684542</c:v>
                </c:pt>
                <c:pt idx="60">
                  <c:v>6.934314102272331</c:v>
                </c:pt>
                <c:pt idx="61">
                  <c:v>6.989844496278253</c:v>
                </c:pt>
                <c:pt idx="62">
                  <c:v>7.044271112809362</c:v>
                </c:pt>
                <c:pt idx="63">
                  <c:v>7.09758535727198</c:v>
                </c:pt>
                <c:pt idx="64">
                  <c:v>7.149778810728864</c:v>
                </c:pt>
                <c:pt idx="65">
                  <c:v>7.200843231228668</c:v>
                </c:pt>
                <c:pt idx="66">
                  <c:v>7.250770555107439</c:v>
                </c:pt>
                <c:pt idx="67">
                  <c:v>7.299552898261959</c:v>
                </c:pt>
                <c:pt idx="68">
                  <c:v>7.347182557394742</c:v>
                </c:pt>
                <c:pt idx="69">
                  <c:v>7.393652011230471</c:v>
                </c:pt>
                <c:pt idx="70">
                  <c:v>7.438953921703692</c:v>
                </c:pt>
                <c:pt idx="71">
                  <c:v>7.483081135117587</c:v>
                </c:pt>
                <c:pt idx="72">
                  <c:v>7.526026683273618</c:v>
                </c:pt>
                <c:pt idx="73">
                  <c:v>7.567783784571893</c:v>
                </c:pt>
                <c:pt idx="74">
                  <c:v>7.608345845082049</c:v>
                </c:pt>
                <c:pt idx="75">
                  <c:v>7.647706459584524</c:v>
                </c:pt>
                <c:pt idx="76">
                  <c:v>7.685859412582005</c:v>
                </c:pt>
                <c:pt idx="77">
                  <c:v>7.722798679280932</c:v>
                </c:pt>
                <c:pt idx="78">
                  <c:v>7.758518426542876</c:v>
                </c:pt>
                <c:pt idx="79">
                  <c:v>7.793013013805671</c:v>
                </c:pt>
                <c:pt idx="80">
                  <c:v>7.826276993974112</c:v>
                </c:pt>
                <c:pt idx="81">
                  <c:v>7.858305114280125</c:v>
                </c:pt>
                <c:pt idx="82">
                  <c:v>7.889092317112231</c:v>
                </c:pt>
                <c:pt idx="83">
                  <c:v>7.918633740814204</c:v>
                </c:pt>
                <c:pt idx="84">
                  <c:v>7.946924720452788</c:v>
                </c:pt>
                <c:pt idx="85">
                  <c:v>7.97396078855434</c:v>
                </c:pt>
                <c:pt idx="86">
                  <c:v>7.999737675810292</c:v>
                </c:pt>
                <c:pt idx="87">
                  <c:v>8.024251311751332</c:v>
                </c:pt>
                <c:pt idx="88">
                  <c:v>8.047497825390176</c:v>
                </c:pt>
                <c:pt idx="89">
                  <c:v>8.069473545832835</c:v>
                </c:pt>
                <c:pt idx="90">
                  <c:v>8.090175002858302</c:v>
                </c:pt>
                <c:pt idx="91">
                  <c:v>8.109598927466535</c:v>
                </c:pt>
                <c:pt idx="92">
                  <c:v>8.127742252394668</c:v>
                </c:pt>
                <c:pt idx="93">
                  <c:v>8.14460211260137</c:v>
                </c:pt>
                <c:pt idx="94">
                  <c:v>8.160175845719267</c:v>
                </c:pt>
                <c:pt idx="95">
                  <c:v>8.17446099247537</c:v>
                </c:pt>
                <c:pt idx="96">
                  <c:v>8.1874552970794</c:v>
                </c:pt>
                <c:pt idx="97">
                  <c:v>8.199156707580028</c:v>
                </c:pt>
                <c:pt idx="98">
                  <c:v>8.20956337618889</c:v>
                </c:pt>
                <c:pt idx="99">
                  <c:v>8.218673659572374</c:v>
                </c:pt>
                <c:pt idx="100">
                  <c:v>8.226486119111124</c:v>
                </c:pt>
                <c:pt idx="101">
                  <c:v>8.232999521127213</c:v>
                </c:pt>
                <c:pt idx="102">
                  <c:v>8.23821283707896</c:v>
                </c:pt>
                <c:pt idx="103">
                  <c:v>8.242125243723338</c:v>
                </c:pt>
                <c:pt idx="104">
                  <c:v>8.244736123245985</c:v>
                </c:pt>
                <c:pt idx="105">
                  <c:v>8.246045063358759</c:v>
                </c:pt>
                <c:pt idx="106">
                  <c:v>8.246051857364841</c:v>
                </c:pt>
                <c:pt idx="107">
                  <c:v>8.244756504191379</c:v>
                </c:pt>
                <c:pt idx="108">
                  <c:v>8.242159208389656</c:v>
                </c:pt>
                <c:pt idx="109">
                  <c:v>8.238260380102787</c:v>
                </c:pt>
                <c:pt idx="110">
                  <c:v>8.233060635000958</c:v>
                </c:pt>
                <c:pt idx="111">
                  <c:v>8.226560794184193</c:v>
                </c:pt>
                <c:pt idx="112">
                  <c:v>8.218761884052711</c:v>
                </c:pt>
                <c:pt idx="113">
                  <c:v>8.209665136144825</c:v>
                </c:pt>
                <c:pt idx="114">
                  <c:v>8.199271986942483</c:v>
                </c:pt>
                <c:pt idx="115">
                  <c:v>8.187584077644428</c:v>
                </c:pt>
                <c:pt idx="116">
                  <c:v>8.174603253907026</c:v>
                </c:pt>
                <c:pt idx="117">
                  <c:v>8.160331565552827</c:v>
                </c:pt>
                <c:pt idx="118">
                  <c:v>8.144771266246861</c:v>
                </c:pt>
                <c:pt idx="119">
                  <c:v>8.127924813140771</c:v>
                </c:pt>
                <c:pt idx="120">
                  <c:v>8.109794866484794</c:v>
                </c:pt>
                <c:pt idx="121">
                  <c:v>8.090384289207673</c:v>
                </c:pt>
                <c:pt idx="122">
                  <c:v>8.069696146464575</c:v>
                </c:pt>
                <c:pt idx="123">
                  <c:v>8.047733705153068</c:v>
                </c:pt>
                <c:pt idx="124">
                  <c:v>8.024500433397225</c:v>
                </c:pt>
                <c:pt idx="125">
                  <c:v>7.999999999999991</c:v>
                </c:pt>
                <c:pt idx="126">
                  <c:v>7.974236273863814</c:v>
                </c:pt>
                <c:pt idx="127">
                  <c:v>7.947213323379714</c:v>
                </c:pt>
                <c:pt idx="128">
                  <c:v>7.918935415784833</c:v>
                </c:pt>
                <c:pt idx="129">
                  <c:v>7.889407016488589</c:v>
                </c:pt>
                <c:pt idx="130">
                  <c:v>7.858632788367533</c:v>
                </c:pt>
                <c:pt idx="131">
                  <c:v>7.826617591029032</c:v>
                </c:pt>
                <c:pt idx="132">
                  <c:v>7.79336648004388</c:v>
                </c:pt>
                <c:pt idx="133">
                  <c:v>7.758884706147956</c:v>
                </c:pt>
                <c:pt idx="134">
                  <c:v>7.723177714413088</c:v>
                </c:pt>
                <c:pt idx="135">
                  <c:v>7.686251143387197</c:v>
                </c:pt>
                <c:pt idx="136">
                  <c:v>7.648110824203916</c:v>
                </c:pt>
                <c:pt idx="137">
                  <c:v>7.60876277966178</c:v>
                </c:pt>
                <c:pt idx="138">
                  <c:v>7.568213223273158</c:v>
                </c:pt>
                <c:pt idx="139">
                  <c:v>7.526468558283072</c:v>
                </c:pt>
                <c:pt idx="140">
                  <c:v>7.483535376658039</c:v>
                </c:pt>
                <c:pt idx="141">
                  <c:v>7.43942045804514</c:v>
                </c:pt>
                <c:pt idx="142">
                  <c:v>7.394130768701416</c:v>
                </c:pt>
                <c:pt idx="143">
                  <c:v>7.347673460393831</c:v>
                </c:pt>
                <c:pt idx="144">
                  <c:v>7.300055869269918</c:v>
                </c:pt>
                <c:pt idx="145">
                  <c:v>7.251285514699314</c:v>
                </c:pt>
                <c:pt idx="146">
                  <c:v>7.20137009808637</c:v>
                </c:pt>
                <c:pt idx="147">
                  <c:v>7.150317501654009</c:v>
                </c:pt>
                <c:pt idx="148">
                  <c:v>7.098135787199026</c:v>
                </c:pt>
                <c:pt idx="149">
                  <c:v>7.044833194819043</c:v>
                </c:pt>
                <c:pt idx="150">
                  <c:v>6.990418141611303</c:v>
                </c:pt>
                <c:pt idx="151">
                  <c:v>6.934899220343503</c:v>
                </c:pt>
                <c:pt idx="152">
                  <c:v>6.878285198096909</c:v>
                </c:pt>
                <c:pt idx="153">
                  <c:v>6.820585014881924</c:v>
                </c:pt>
                <c:pt idx="154">
                  <c:v>6.76180778222636</c:v>
                </c:pt>
                <c:pt idx="155">
                  <c:v>6.701962781736618</c:v>
                </c:pt>
                <c:pt idx="156">
                  <c:v>6.641059463632024</c:v>
                </c:pt>
                <c:pt idx="157">
                  <c:v>6.579107445252518</c:v>
                </c:pt>
                <c:pt idx="158">
                  <c:v>6.516116509539976</c:v>
                </c:pt>
                <c:pt idx="159">
                  <c:v>6.452096603493355</c:v>
                </c:pt>
                <c:pt idx="160">
                  <c:v>6.387057836597968</c:v>
                </c:pt>
                <c:pt idx="161">
                  <c:v>6.321010479229058</c:v>
                </c:pt>
                <c:pt idx="162">
                  <c:v>6.253964961030001</c:v>
                </c:pt>
                <c:pt idx="163">
                  <c:v>6.185931869265334</c:v>
                </c:pt>
                <c:pt idx="164">
                  <c:v>6.116921947148914</c:v>
                </c:pt>
                <c:pt idx="165">
                  <c:v>6.04694609214743</c:v>
                </c:pt>
                <c:pt idx="166">
                  <c:v>5.976015354259572</c:v>
                </c:pt>
                <c:pt idx="167">
                  <c:v>5.90414093427111</c:v>
                </c:pt>
                <c:pt idx="168">
                  <c:v>5.831334181986152</c:v>
                </c:pt>
                <c:pt idx="169">
                  <c:v>5.75760659443489</c:v>
                </c:pt>
                <c:pt idx="170">
                  <c:v>5.682969814058071</c:v>
                </c:pt>
                <c:pt idx="171">
                  <c:v>5.607435626868539</c:v>
                </c:pt>
                <c:pt idx="172">
                  <c:v>5.531015960590067</c:v>
                </c:pt>
                <c:pt idx="173">
                  <c:v>5.453722882773847</c:v>
                </c:pt>
                <c:pt idx="174">
                  <c:v>5.375568598892876</c:v>
                </c:pt>
                <c:pt idx="175">
                  <c:v>5.296565450414571</c:v>
                </c:pt>
                <c:pt idx="176">
                  <c:v>5.216725912851912</c:v>
                </c:pt>
                <c:pt idx="177">
                  <c:v>5.136062593793408</c:v>
                </c:pt>
                <c:pt idx="178">
                  <c:v>5.054588230912216</c:v>
                </c:pt>
                <c:pt idx="179">
                  <c:v>4.97231568995472</c:v>
                </c:pt>
                <c:pt idx="180">
                  <c:v>4.889257962708866</c:v>
                </c:pt>
                <c:pt idx="181">
                  <c:v>4.805428164952624</c:v>
                </c:pt>
                <c:pt idx="182">
                  <c:v>4.720839534382846</c:v>
                </c:pt>
                <c:pt idx="183">
                  <c:v>4.635505428524881</c:v>
                </c:pt>
                <c:pt idx="184">
                  <c:v>4.549439322623268</c:v>
                </c:pt>
                <c:pt idx="185">
                  <c:v>4.462654807513839</c:v>
                </c:pt>
                <c:pt idx="186">
                  <c:v>4.375165587477569</c:v>
                </c:pt>
                <c:pt idx="187">
                  <c:v>4.286985478076507</c:v>
                </c:pt>
                <c:pt idx="188">
                  <c:v>4.198128403972143</c:v>
                </c:pt>
                <c:pt idx="189">
                  <c:v>4.108608396726545</c:v>
                </c:pt>
                <c:pt idx="190">
                  <c:v>4.018439592586604</c:v>
                </c:pt>
                <c:pt idx="191">
                  <c:v>3.927636230251765</c:v>
                </c:pt>
                <c:pt idx="192">
                  <c:v>3.836212648625564</c:v>
                </c:pt>
                <c:pt idx="193">
                  <c:v>3.744183284551358</c:v>
                </c:pt>
                <c:pt idx="194">
                  <c:v>3.651562670532571</c:v>
                </c:pt>
                <c:pt idx="195">
                  <c:v>3.558365432437851</c:v>
                </c:pt>
                <c:pt idx="196">
                  <c:v>3.464606287191467</c:v>
                </c:pt>
                <c:pt idx="197">
                  <c:v>3.370300040449346</c:v>
                </c:pt>
                <c:pt idx="198">
                  <c:v>3.27546158426108</c:v>
                </c:pt>
                <c:pt idx="199">
                  <c:v>3.180105894718304</c:v>
                </c:pt>
                <c:pt idx="200">
                  <c:v>3.084248029589796</c:v>
                </c:pt>
                <c:pt idx="201">
                  <c:v>2.987903125943677</c:v>
                </c:pt>
                <c:pt idx="202">
                  <c:v>2.8910863977571</c:v>
                </c:pt>
                <c:pt idx="203">
                  <c:v>2.79381313351378</c:v>
                </c:pt>
                <c:pt idx="204">
                  <c:v>2.696098693789769</c:v>
                </c:pt>
                <c:pt idx="205">
                  <c:v>2.597958508827842</c:v>
                </c:pt>
                <c:pt idx="206">
                  <c:v>2.499408076100879</c:v>
                </c:pt>
                <c:pt idx="207">
                  <c:v>2.400462957864644</c:v>
                </c:pt>
                <c:pt idx="208">
                  <c:v>2.30113877870031</c:v>
                </c:pt>
                <c:pt idx="209">
                  <c:v>2.201451223047175</c:v>
                </c:pt>
                <c:pt idx="210">
                  <c:v>2.101416032725888</c:v>
                </c:pt>
                <c:pt idx="211">
                  <c:v>2.001049004452645</c:v>
                </c:pt>
                <c:pt idx="212">
                  <c:v>1.900365987344704</c:v>
                </c:pt>
                <c:pt idx="213">
                  <c:v>1.799382880417619</c:v>
                </c:pt>
                <c:pt idx="214">
                  <c:v>1.69811563007461</c:v>
                </c:pt>
                <c:pt idx="215">
                  <c:v>1.596580227588429</c:v>
                </c:pt>
                <c:pt idx="216">
                  <c:v>1.494792706576167</c:v>
                </c:pt>
                <c:pt idx="217">
                  <c:v>1.39276914046735</c:v>
                </c:pt>
                <c:pt idx="218">
                  <c:v>1.290525639965762</c:v>
                </c:pt>
                <c:pt idx="219">
                  <c:v>1.188078350505375</c:v>
                </c:pt>
                <c:pt idx="220">
                  <c:v>1.085443449700802</c:v>
                </c:pt>
                <c:pt idx="221">
                  <c:v>0.982637144792662</c:v>
                </c:pt>
                <c:pt idx="222">
                  <c:v>0.879675670088267</c:v>
                </c:pt>
                <c:pt idx="223">
                  <c:v>0.776575284398042</c:v>
                </c:pt>
                <c:pt idx="224">
                  <c:v>0.673352268468064</c:v>
                </c:pt>
                <c:pt idx="225">
                  <c:v>0.570022922409148</c:v>
                </c:pt>
                <c:pt idx="226">
                  <c:v>0.466603563122868</c:v>
                </c:pt>
                <c:pt idx="227">
                  <c:v>0.363110521724931</c:v>
                </c:pt>
                <c:pt idx="228">
                  <c:v>0.259560140966303</c:v>
                </c:pt>
                <c:pt idx="229">
                  <c:v>0.1559687726525</c:v>
                </c:pt>
                <c:pt idx="230">
                  <c:v>0.0523527750614475</c:v>
                </c:pt>
                <c:pt idx="231">
                  <c:v>-0.0512714896396798</c:v>
                </c:pt>
                <c:pt idx="232">
                  <c:v>-0.154887657978235</c:v>
                </c:pt>
                <c:pt idx="233">
                  <c:v>-0.258479367760081</c:v>
                </c:pt>
                <c:pt idx="234">
                  <c:v>-0.36203026065337</c:v>
                </c:pt>
                <c:pt idx="235">
                  <c:v>-0.465523984771713</c:v>
                </c:pt>
                <c:pt idx="236">
                  <c:v>-0.568944197256336</c:v>
                </c:pt>
                <c:pt idx="237">
                  <c:v>-0.672274566856801</c:v>
                </c:pt>
                <c:pt idx="238">
                  <c:v>-0.775498776509907</c:v>
                </c:pt>
                <c:pt idx="239">
                  <c:v>-0.878600525916334</c:v>
                </c:pt>
                <c:pt idx="240">
                  <c:v>-0.981563534114658</c:v>
                </c:pt>
                <c:pt idx="241">
                  <c:v>-1.0843715420523</c:v>
                </c:pt>
                <c:pt idx="242">
                  <c:v>-1.187008315153019</c:v>
                </c:pt>
                <c:pt idx="243">
                  <c:v>-1.289457645880538</c:v>
                </c:pt>
                <c:pt idx="244">
                  <c:v>-1.391703356297905</c:v>
                </c:pt>
                <c:pt idx="245">
                  <c:v>-1.493729300622175</c:v>
                </c:pt>
                <c:pt idx="246">
                  <c:v>-1.595519367774018</c:v>
                </c:pt>
                <c:pt idx="247">
                  <c:v>-1.697057483921842</c:v>
                </c:pt>
                <c:pt idx="248">
                  <c:v>-1.798327615020041</c:v>
                </c:pt>
                <c:pt idx="249">
                  <c:v>-1.899313769340953</c:v>
                </c:pt>
                <c:pt idx="250">
                  <c:v>-2.000000000000142</c:v>
                </c:pt>
                <c:pt idx="251">
                  <c:v>-2.100370407474595</c:v>
                </c:pt>
                <c:pt idx="252">
                  <c:v>-2.200409142113442</c:v>
                </c:pt>
                <c:pt idx="253">
                  <c:v>-2.300100406640797</c:v>
                </c:pt>
                <c:pt idx="254">
                  <c:v>-2.399428458650334</c:v>
                </c:pt>
                <c:pt idx="255">
                  <c:v>-2.498377613091193</c:v>
                </c:pt>
                <c:pt idx="256">
                  <c:v>-2.596932244744833</c:v>
                </c:pt>
                <c:pt idx="257">
                  <c:v>-2.695076790692434</c:v>
                </c:pt>
                <c:pt idx="258">
                  <c:v>-2.792795752772463</c:v>
                </c:pt>
                <c:pt idx="259">
                  <c:v>-2.890073700028014</c:v>
                </c:pt>
                <c:pt idx="260">
                  <c:v>-2.986895271143534</c:v>
                </c:pt>
                <c:pt idx="261">
                  <c:v>-3.083245176870552</c:v>
                </c:pt>
                <c:pt idx="262">
                  <c:v>-3.179108202442029</c:v>
                </c:pt>
                <c:pt idx="263">
                  <c:v>-3.274469209974949</c:v>
                </c:pt>
                <c:pt idx="264">
                  <c:v>-3.369313140860764</c:v>
                </c:pt>
                <c:pt idx="265">
                  <c:v>-3.463625018143319</c:v>
                </c:pt>
                <c:pt idx="266">
                  <c:v>-3.557389948883894</c:v>
                </c:pt>
                <c:pt idx="267">
                  <c:v>-3.650593126512968</c:v>
                </c:pt>
                <c:pt idx="268">
                  <c:v>-3.743219833168348</c:v>
                </c:pt>
                <c:pt idx="269">
                  <c:v>-3.835255442019289</c:v>
                </c:pt>
                <c:pt idx="270">
                  <c:v>-3.926685419576244</c:v>
                </c:pt>
                <c:pt idx="271">
                  <c:v>-4.017495327985866</c:v>
                </c:pt>
                <c:pt idx="272">
                  <c:v>-4.107670827310917</c:v>
                </c:pt>
                <c:pt idx="273">
                  <c:v>-4.197197677794704</c:v>
                </c:pt>
                <c:pt idx="274">
                  <c:v>-4.286061742109707</c:v>
                </c:pt>
                <c:pt idx="275">
                  <c:v>-4.374248987590028</c:v>
                </c:pt>
                <c:pt idx="276">
                  <c:v>-4.461745488447307</c:v>
                </c:pt>
                <c:pt idx="277">
                  <c:v>-4.548537427969763</c:v>
                </c:pt>
                <c:pt idx="278">
                  <c:v>-4.634611100704025</c:v>
                </c:pt>
                <c:pt idx="279">
                  <c:v>-4.71995291461937</c:v>
                </c:pt>
                <c:pt idx="280">
                  <c:v>-4.804549393254066</c:v>
                </c:pt>
                <c:pt idx="281">
                  <c:v>-4.888387177843465</c:v>
                </c:pt>
                <c:pt idx="282">
                  <c:v>-4.9714530294295</c:v>
                </c:pt>
                <c:pt idx="283">
                  <c:v>-5.053733830951274</c:v>
                </c:pt>
                <c:pt idx="284">
                  <c:v>-5.135216589316402</c:v>
                </c:pt>
                <c:pt idx="285">
                  <c:v>-5.215888437452757</c:v>
                </c:pt>
                <c:pt idx="286">
                  <c:v>-5.295736636340342</c:v>
                </c:pt>
                <c:pt idx="287">
                  <c:v>-5.374748577022921</c:v>
                </c:pt>
                <c:pt idx="288">
                  <c:v>-5.452911782599127</c:v>
                </c:pt>
                <c:pt idx="289">
                  <c:v>-5.530213910192701</c:v>
                </c:pt>
                <c:pt idx="290">
                  <c:v>-5.606642752901581</c:v>
                </c:pt>
                <c:pt idx="291">
                  <c:v>-5.682186241725516</c:v>
                </c:pt>
                <c:pt idx="292">
                  <c:v>-5.756832447471888</c:v>
                </c:pt>
                <c:pt idx="293">
                  <c:v>-5.830569582639485</c:v>
                </c:pt>
                <c:pt idx="294">
                  <c:v>-5.903386003279877</c:v>
                </c:pt>
                <c:pt idx="295">
                  <c:v>-5.97527021083613</c:v>
                </c:pt>
                <c:pt idx="296">
                  <c:v>-6.046210853958563</c:v>
                </c:pt>
                <c:pt idx="297">
                  <c:v>-6.116196730297255</c:v>
                </c:pt>
                <c:pt idx="298">
                  <c:v>-6.185216788271031</c:v>
                </c:pt>
                <c:pt idx="299">
                  <c:v>-6.25326012881263</c:v>
                </c:pt>
                <c:pt idx="300">
                  <c:v>-6.320316007089802</c:v>
                </c:pt>
                <c:pt idx="301">
                  <c:v>-6.386373834202024</c:v>
                </c:pt>
                <c:pt idx="302">
                  <c:v>-6.451423178852632</c:v>
                </c:pt>
                <c:pt idx="303">
                  <c:v>-6.515453768996031</c:v>
                </c:pt>
                <c:pt idx="304">
                  <c:v>-6.578455493459767</c:v>
                </c:pt>
                <c:pt idx="305">
                  <c:v>-6.640418403541211</c:v>
                </c:pt>
                <c:pt idx="306">
                  <c:v>-6.701332714578564</c:v>
                </c:pt>
                <c:pt idx="307">
                  <c:v>-6.761188807495972</c:v>
                </c:pt>
                <c:pt idx="308">
                  <c:v>-6.819977230322488</c:v>
                </c:pt>
                <c:pt idx="309">
                  <c:v>-6.877688699684652</c:v>
                </c:pt>
                <c:pt idx="310">
                  <c:v>-6.93431410227244</c:v>
                </c:pt>
                <c:pt idx="311">
                  <c:v>-6.98984449627836</c:v>
                </c:pt>
                <c:pt idx="312">
                  <c:v>-7.044271112809468</c:v>
                </c:pt>
                <c:pt idx="313">
                  <c:v>-7.097585357272084</c:v>
                </c:pt>
                <c:pt idx="314">
                  <c:v>-7.149778810728965</c:v>
                </c:pt>
                <c:pt idx="315">
                  <c:v>-7.200843231228768</c:v>
                </c:pt>
                <c:pt idx="316">
                  <c:v>-7.250770555107537</c:v>
                </c:pt>
                <c:pt idx="317">
                  <c:v>-7.299552898262055</c:v>
                </c:pt>
                <c:pt idx="318">
                  <c:v>-7.347182557394837</c:v>
                </c:pt>
                <c:pt idx="319">
                  <c:v>-7.393652011230562</c:v>
                </c:pt>
                <c:pt idx="320">
                  <c:v>-7.438953921703782</c:v>
                </c:pt>
                <c:pt idx="321">
                  <c:v>-7.483081135117676</c:v>
                </c:pt>
                <c:pt idx="322">
                  <c:v>-7.526026683273705</c:v>
                </c:pt>
                <c:pt idx="323">
                  <c:v>-7.567783784571976</c:v>
                </c:pt>
                <c:pt idx="324">
                  <c:v>-7.608345845082132</c:v>
                </c:pt>
                <c:pt idx="325">
                  <c:v>-7.647706459584605</c:v>
                </c:pt>
                <c:pt idx="326">
                  <c:v>-7.685859412582084</c:v>
                </c:pt>
                <c:pt idx="327">
                  <c:v>-7.722798679281007</c:v>
                </c:pt>
                <c:pt idx="328">
                  <c:v>-7.75851842654295</c:v>
                </c:pt>
                <c:pt idx="329">
                  <c:v>-7.793013013805742</c:v>
                </c:pt>
                <c:pt idx="330">
                  <c:v>-7.826276993974182</c:v>
                </c:pt>
                <c:pt idx="331">
                  <c:v>-7.858305114280192</c:v>
                </c:pt>
                <c:pt idx="332">
                  <c:v>-7.889092317112294</c:v>
                </c:pt>
                <c:pt idx="333">
                  <c:v>-7.918633740814265</c:v>
                </c:pt>
                <c:pt idx="334">
                  <c:v>-7.946924720452846</c:v>
                </c:pt>
                <c:pt idx="335">
                  <c:v>-7.973960788554395</c:v>
                </c:pt>
                <c:pt idx="336">
                  <c:v>-7.999737675810345</c:v>
                </c:pt>
                <c:pt idx="337">
                  <c:v>-8.024251311751383</c:v>
                </c:pt>
                <c:pt idx="338">
                  <c:v>-8.047497825390223</c:v>
                </c:pt>
                <c:pt idx="339">
                  <c:v>-8.06947354583288</c:v>
                </c:pt>
                <c:pt idx="340">
                  <c:v>-8.090175002858345</c:v>
                </c:pt>
                <c:pt idx="341">
                  <c:v>-8.109598927466575</c:v>
                </c:pt>
                <c:pt idx="342">
                  <c:v>-8.127742252394703</c:v>
                </c:pt>
                <c:pt idx="343">
                  <c:v>-8.144602112601403</c:v>
                </c:pt>
                <c:pt idx="344">
                  <c:v>-8.1601758457193</c:v>
                </c:pt>
                <c:pt idx="345">
                  <c:v>-8.174460992475397</c:v>
                </c:pt>
                <c:pt idx="346">
                  <c:v>-8.187455297079425</c:v>
                </c:pt>
                <c:pt idx="347">
                  <c:v>-8.199156707580051</c:v>
                </c:pt>
                <c:pt idx="348">
                  <c:v>-8.20956337618891</c:v>
                </c:pt>
                <c:pt idx="349">
                  <c:v>-8.218673659572392</c:v>
                </c:pt>
                <c:pt idx="350">
                  <c:v>-8.22648611911114</c:v>
                </c:pt>
                <c:pt idx="351">
                  <c:v>-8.232999521127226</c:v>
                </c:pt>
                <c:pt idx="352">
                  <c:v>-8.238212837078968</c:v>
                </c:pt>
                <c:pt idx="353">
                  <c:v>-8.242125243723345</c:v>
                </c:pt>
                <c:pt idx="354">
                  <c:v>-8.24473612324599</c:v>
                </c:pt>
                <c:pt idx="355">
                  <c:v>-8.246045063358761</c:v>
                </c:pt>
                <c:pt idx="356">
                  <c:v>-8.24605185736484</c:v>
                </c:pt>
                <c:pt idx="357">
                  <c:v>-8.244756504191375</c:v>
                </c:pt>
                <c:pt idx="358">
                  <c:v>-8.24215920838965</c:v>
                </c:pt>
                <c:pt idx="359">
                  <c:v>-8.238260380102778</c:v>
                </c:pt>
                <c:pt idx="360">
                  <c:v>-8.233060635000944</c:v>
                </c:pt>
                <c:pt idx="361">
                  <c:v>-8.226560794184179</c:v>
                </c:pt>
                <c:pt idx="362">
                  <c:v>-8.218761884052691</c:v>
                </c:pt>
                <c:pt idx="363">
                  <c:v>-8.209665136144803</c:v>
                </c:pt>
                <c:pt idx="364">
                  <c:v>-8.19927198694246</c:v>
                </c:pt>
                <c:pt idx="365">
                  <c:v>-8.1875840776444</c:v>
                </c:pt>
                <c:pt idx="366">
                  <c:v>-8.174603253906997</c:v>
                </c:pt>
                <c:pt idx="367">
                  <c:v>-8.160331565552795</c:v>
                </c:pt>
                <c:pt idx="368">
                  <c:v>-8.144771266246828</c:v>
                </c:pt>
                <c:pt idx="369">
                  <c:v>-8.127924813140735</c:v>
                </c:pt>
                <c:pt idx="370">
                  <c:v>-8.109794866484753</c:v>
                </c:pt>
                <c:pt idx="371">
                  <c:v>-8.09038428920763</c:v>
                </c:pt>
                <c:pt idx="372">
                  <c:v>-8.06969614646453</c:v>
                </c:pt>
                <c:pt idx="373">
                  <c:v>-8.04773370515302</c:v>
                </c:pt>
                <c:pt idx="374">
                  <c:v>-8.024500433397176</c:v>
                </c:pt>
                <c:pt idx="375">
                  <c:v>-7.999999999999937</c:v>
                </c:pt>
                <c:pt idx="376">
                  <c:v>-7.974236273863759</c:v>
                </c:pt>
                <c:pt idx="377">
                  <c:v>-7.947213323379655</c:v>
                </c:pt>
                <c:pt idx="378">
                  <c:v>-7.918935415784772</c:v>
                </c:pt>
                <c:pt idx="379">
                  <c:v>-7.889407016488525</c:v>
                </c:pt>
                <c:pt idx="380">
                  <c:v>-7.858632788367467</c:v>
                </c:pt>
                <c:pt idx="381">
                  <c:v>-7.826617591028964</c:v>
                </c:pt>
                <c:pt idx="382">
                  <c:v>-7.793366480043807</c:v>
                </c:pt>
                <c:pt idx="383">
                  <c:v>-7.758884706147882</c:v>
                </c:pt>
                <c:pt idx="384">
                  <c:v>-7.723177714413012</c:v>
                </c:pt>
                <c:pt idx="385">
                  <c:v>-7.686251143387118</c:v>
                </c:pt>
                <c:pt idx="386">
                  <c:v>-7.648110824203835</c:v>
                </c:pt>
                <c:pt idx="387">
                  <c:v>-7.608762779661695</c:v>
                </c:pt>
                <c:pt idx="388">
                  <c:v>-7.568213223273071</c:v>
                </c:pt>
                <c:pt idx="389">
                  <c:v>-7.526468558282982</c:v>
                </c:pt>
                <c:pt idx="390">
                  <c:v>-7.483535376657947</c:v>
                </c:pt>
                <c:pt idx="391">
                  <c:v>-7.439420458045044</c:v>
                </c:pt>
                <c:pt idx="392">
                  <c:v>-7.394130768701318</c:v>
                </c:pt>
                <c:pt idx="393">
                  <c:v>-7.347673460393731</c:v>
                </c:pt>
                <c:pt idx="394">
                  <c:v>-7.300055869269816</c:v>
                </c:pt>
                <c:pt idx="395">
                  <c:v>-7.251285514699209</c:v>
                </c:pt>
                <c:pt idx="396">
                  <c:v>-7.201370098086263</c:v>
                </c:pt>
                <c:pt idx="397">
                  <c:v>-7.1503175016539</c:v>
                </c:pt>
                <c:pt idx="398">
                  <c:v>-7.098135787198915</c:v>
                </c:pt>
                <c:pt idx="399">
                  <c:v>-7.04483319481893</c:v>
                </c:pt>
                <c:pt idx="400">
                  <c:v>-6.990418141611186</c:v>
                </c:pt>
                <c:pt idx="401">
                  <c:v>-6.934899220343384</c:v>
                </c:pt>
                <c:pt idx="402">
                  <c:v>-6.878285198096788</c:v>
                </c:pt>
                <c:pt idx="403">
                  <c:v>-6.820585014881801</c:v>
                </c:pt>
                <c:pt idx="404">
                  <c:v>-6.761807782226234</c:v>
                </c:pt>
                <c:pt idx="405">
                  <c:v>-6.701962781736491</c:v>
                </c:pt>
                <c:pt idx="406">
                  <c:v>-6.641059463631894</c:v>
                </c:pt>
                <c:pt idx="407">
                  <c:v>-6.579107445252387</c:v>
                </c:pt>
                <c:pt idx="408">
                  <c:v>-6.516116509539841</c:v>
                </c:pt>
                <c:pt idx="409">
                  <c:v>-6.45209660349322</c:v>
                </c:pt>
                <c:pt idx="410">
                  <c:v>-6.38705783659783</c:v>
                </c:pt>
                <c:pt idx="411">
                  <c:v>-6.321010479228919</c:v>
                </c:pt>
                <c:pt idx="412">
                  <c:v>-6.253964961029858</c:v>
                </c:pt>
                <c:pt idx="413">
                  <c:v>-6.18593186926519</c:v>
                </c:pt>
                <c:pt idx="414">
                  <c:v>-6.116921947148767</c:v>
                </c:pt>
                <c:pt idx="415">
                  <c:v>-6.04694609214728</c:v>
                </c:pt>
                <c:pt idx="416">
                  <c:v>-5.976015354259421</c:v>
                </c:pt>
                <c:pt idx="417">
                  <c:v>-5.904140934270957</c:v>
                </c:pt>
                <c:pt idx="418">
                  <c:v>-5.831334181985998</c:v>
                </c:pt>
                <c:pt idx="419">
                  <c:v>-5.757606594434733</c:v>
                </c:pt>
                <c:pt idx="420">
                  <c:v>-5.682969814057913</c:v>
                </c:pt>
                <c:pt idx="421">
                  <c:v>-5.607435626868378</c:v>
                </c:pt>
                <c:pt idx="422">
                  <c:v>-5.531015960589905</c:v>
                </c:pt>
                <c:pt idx="423">
                  <c:v>-5.453722882773683</c:v>
                </c:pt>
                <c:pt idx="424">
                  <c:v>-5.37556859889271</c:v>
                </c:pt>
                <c:pt idx="425">
                  <c:v>-5.296565450414404</c:v>
                </c:pt>
                <c:pt idx="426">
                  <c:v>-5.216725912851742</c:v>
                </c:pt>
                <c:pt idx="427">
                  <c:v>-5.136062593793236</c:v>
                </c:pt>
                <c:pt idx="428">
                  <c:v>-5.054588230912044</c:v>
                </c:pt>
                <c:pt idx="429">
                  <c:v>-4.972315689954544</c:v>
                </c:pt>
                <c:pt idx="430">
                  <c:v>-4.88925796270869</c:v>
                </c:pt>
                <c:pt idx="431">
                  <c:v>-4.805428164952447</c:v>
                </c:pt>
                <c:pt idx="432">
                  <c:v>-4.720839534382666</c:v>
                </c:pt>
                <c:pt idx="433">
                  <c:v>-4.635505428524701</c:v>
                </c:pt>
                <c:pt idx="434">
                  <c:v>-4.549439322623086</c:v>
                </c:pt>
                <c:pt idx="435">
                  <c:v>-4.462654807513656</c:v>
                </c:pt>
                <c:pt idx="436">
                  <c:v>-4.375165587477383</c:v>
                </c:pt>
                <c:pt idx="437">
                  <c:v>-4.286985478076319</c:v>
                </c:pt>
                <c:pt idx="438">
                  <c:v>-4.198128403971956</c:v>
                </c:pt>
                <c:pt idx="439">
                  <c:v>-4.108608396726356</c:v>
                </c:pt>
                <c:pt idx="440">
                  <c:v>-4.018439592586414</c:v>
                </c:pt>
                <c:pt idx="441">
                  <c:v>-3.927636230251572</c:v>
                </c:pt>
                <c:pt idx="442">
                  <c:v>-3.836212648625371</c:v>
                </c:pt>
                <c:pt idx="443">
                  <c:v>-3.744183284551163</c:v>
                </c:pt>
                <c:pt idx="444">
                  <c:v>-3.651562670532375</c:v>
                </c:pt>
                <c:pt idx="445">
                  <c:v>-3.558365432437654</c:v>
                </c:pt>
                <c:pt idx="446">
                  <c:v>-3.464606287191269</c:v>
                </c:pt>
                <c:pt idx="447">
                  <c:v>-3.370300040449146</c:v>
                </c:pt>
                <c:pt idx="448">
                  <c:v>-3.27546158426088</c:v>
                </c:pt>
                <c:pt idx="449">
                  <c:v>-3.180105894718102</c:v>
                </c:pt>
                <c:pt idx="450">
                  <c:v>-3.084248029589593</c:v>
                </c:pt>
                <c:pt idx="451">
                  <c:v>-2.987903125943473</c:v>
                </c:pt>
                <c:pt idx="452">
                  <c:v>-2.891086397756895</c:v>
                </c:pt>
                <c:pt idx="453">
                  <c:v>-2.793813133513574</c:v>
                </c:pt>
                <c:pt idx="454">
                  <c:v>-2.696098693789562</c:v>
                </c:pt>
                <c:pt idx="455">
                  <c:v>-2.597958508827634</c:v>
                </c:pt>
                <c:pt idx="456">
                  <c:v>-2.499408076100671</c:v>
                </c:pt>
                <c:pt idx="457">
                  <c:v>-2.400462957864434</c:v>
                </c:pt>
                <c:pt idx="458">
                  <c:v>-2.301138778700101</c:v>
                </c:pt>
                <c:pt idx="459">
                  <c:v>-2.201451223046964</c:v>
                </c:pt>
                <c:pt idx="460">
                  <c:v>-2.101416032725676</c:v>
                </c:pt>
                <c:pt idx="461">
                  <c:v>-2.001049004452433</c:v>
                </c:pt>
                <c:pt idx="462">
                  <c:v>-1.900365987344491</c:v>
                </c:pt>
                <c:pt idx="463">
                  <c:v>-1.799382880417406</c:v>
                </c:pt>
                <c:pt idx="464">
                  <c:v>-1.698115630074395</c:v>
                </c:pt>
                <c:pt idx="465">
                  <c:v>-1.596580227588214</c:v>
                </c:pt>
                <c:pt idx="466">
                  <c:v>-1.494792706575952</c:v>
                </c:pt>
                <c:pt idx="467">
                  <c:v>-1.392769140467135</c:v>
                </c:pt>
                <c:pt idx="468">
                  <c:v>-1.290525639965546</c:v>
                </c:pt>
                <c:pt idx="469">
                  <c:v>-1.188078350505159</c:v>
                </c:pt>
                <c:pt idx="470">
                  <c:v>-1.085443449700585</c:v>
                </c:pt>
                <c:pt idx="471">
                  <c:v>-0.982637144792445</c:v>
                </c:pt>
                <c:pt idx="472">
                  <c:v>-0.87967567008805</c:v>
                </c:pt>
                <c:pt idx="473">
                  <c:v>-0.776575284397825</c:v>
                </c:pt>
                <c:pt idx="474">
                  <c:v>-0.673352268467846</c:v>
                </c:pt>
                <c:pt idx="475">
                  <c:v>-0.57002292240893</c:v>
                </c:pt>
                <c:pt idx="476">
                  <c:v>-0.46660356312265</c:v>
                </c:pt>
                <c:pt idx="477">
                  <c:v>-0.363110521724713</c:v>
                </c:pt>
                <c:pt idx="478">
                  <c:v>-0.259560140966085</c:v>
                </c:pt>
                <c:pt idx="479">
                  <c:v>-0.155968772652281</c:v>
                </c:pt>
                <c:pt idx="480">
                  <c:v>-0.0523527750612288</c:v>
                </c:pt>
                <c:pt idx="481">
                  <c:v>0.0512714896398985</c:v>
                </c:pt>
                <c:pt idx="482">
                  <c:v>0.154887657978454</c:v>
                </c:pt>
                <c:pt idx="483">
                  <c:v>0.258479367760299</c:v>
                </c:pt>
                <c:pt idx="484">
                  <c:v>0.362030260653588</c:v>
                </c:pt>
                <c:pt idx="485">
                  <c:v>0.465523984771931</c:v>
                </c:pt>
                <c:pt idx="486">
                  <c:v>0.568944197256554</c:v>
                </c:pt>
                <c:pt idx="487">
                  <c:v>0.672274566857019</c:v>
                </c:pt>
                <c:pt idx="488">
                  <c:v>0.775498776510124</c:v>
                </c:pt>
                <c:pt idx="489">
                  <c:v>0.878600525916551</c:v>
                </c:pt>
                <c:pt idx="490">
                  <c:v>0.981563534114875</c:v>
                </c:pt>
                <c:pt idx="491">
                  <c:v>1.084371542052517</c:v>
                </c:pt>
                <c:pt idx="492">
                  <c:v>1.187008315153235</c:v>
                </c:pt>
                <c:pt idx="493">
                  <c:v>1.289457645880754</c:v>
                </c:pt>
                <c:pt idx="494">
                  <c:v>1.39170335629812</c:v>
                </c:pt>
                <c:pt idx="495">
                  <c:v>1.493729300622391</c:v>
                </c:pt>
                <c:pt idx="496">
                  <c:v>1.595519367774233</c:v>
                </c:pt>
                <c:pt idx="497">
                  <c:v>1.697057483922056</c:v>
                </c:pt>
                <c:pt idx="498">
                  <c:v>1.798327615020254</c:v>
                </c:pt>
                <c:pt idx="499">
                  <c:v>1.899313769341166</c:v>
                </c:pt>
                <c:pt idx="500">
                  <c:v>2.000000000000354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66306752"/>
        <c:axId val="-1014684160"/>
      </c:scatterChart>
      <c:valAx>
        <c:axId val="-106630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4684160"/>
        <c:crosses val="autoZero"/>
        <c:crossBetween val="midCat"/>
      </c:valAx>
      <c:valAx>
        <c:axId val="-10146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630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Energy</a:t>
            </a:r>
            <a:r>
              <a:rPr lang="en-US" baseline="0"/>
              <a:t> of Analytical Steps*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'Analytical Steps'!$D$1</c:f>
              <c:strCache>
                <c:ptCount val="1"/>
                <c:pt idx="0">
                  <c:v>Kinetic Energy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Steps'!$D$2:$D$502</c:f>
              <c:numCache>
                <c:formatCode>General</c:formatCode>
                <c:ptCount val="501"/>
                <c:pt idx="0">
                  <c:v>160.0</c:v>
                </c:pt>
                <c:pt idx="1">
                  <c:v>158.971110378514</c:v>
                </c:pt>
                <c:pt idx="2">
                  <c:v>157.8954990182605</c:v>
                </c:pt>
                <c:pt idx="3">
                  <c:v>156.7738452984287</c:v>
                </c:pt>
                <c:pt idx="4">
                  <c:v>155.6068576795489</c:v>
                </c:pt>
                <c:pt idx="5">
                  <c:v>154.3952732560137</c:v>
                </c:pt>
                <c:pt idx="6">
                  <c:v>153.1398572905133</c:v>
                </c:pt>
                <c:pt idx="7">
                  <c:v>151.8414027306794</c:v>
                </c:pt>
                <c:pt idx="8">
                  <c:v>150.5007297082423</c:v>
                </c:pt>
                <c:pt idx="9">
                  <c:v>149.1186850210181</c:v>
                </c:pt>
                <c:pt idx="10">
                  <c:v>147.6961415980532</c:v>
                </c:pt>
                <c:pt idx="11">
                  <c:v>146.2339979482635</c:v>
                </c:pt>
                <c:pt idx="12">
                  <c:v>144.7331775929169</c:v>
                </c:pt>
                <c:pt idx="13">
                  <c:v>143.1946284823175</c:v>
                </c:pt>
                <c:pt idx="14">
                  <c:v>141.6193223970599</c:v>
                </c:pt>
                <c:pt idx="15">
                  <c:v>140.0082543342318</c:v>
                </c:pt>
                <c:pt idx="16">
                  <c:v>138.3624418789522</c:v>
                </c:pt>
                <c:pt idx="17">
                  <c:v>136.6829245616433</c:v>
                </c:pt>
                <c:pt idx="18">
                  <c:v>134.9707632014405</c:v>
                </c:pt>
                <c:pt idx="19">
                  <c:v>133.2270392361564</c:v>
                </c:pt>
                <c:pt idx="20">
                  <c:v>131.4528540392212</c:v>
                </c:pt>
                <c:pt idx="21">
                  <c:v>129.6493282240322</c:v>
                </c:pt>
                <c:pt idx="22">
                  <c:v>127.8176009361501</c:v>
                </c:pt>
                <c:pt idx="23">
                  <c:v>125.9588291337899</c:v>
                </c:pt>
                <c:pt idx="24">
                  <c:v>124.0741868570618</c:v>
                </c:pt>
                <c:pt idx="25">
                  <c:v>122.1648644864221</c:v>
                </c:pt>
                <c:pt idx="26">
                  <c:v>120.2320679908034</c:v>
                </c:pt>
                <c:pt idx="27">
                  <c:v>118.2770181658988</c:v>
                </c:pt>
                <c:pt idx="28">
                  <c:v>116.3009498630808</c:v>
                </c:pt>
                <c:pt idx="29">
                  <c:v>114.3051112094436</c:v>
                </c:pt>
                <c:pt idx="30">
                  <c:v>112.2907628194583</c:v>
                </c:pt>
                <c:pt idx="31">
                  <c:v>110.2591769987425</c:v>
                </c:pt>
                <c:pt idx="32">
                  <c:v>108.2116369404441</c:v>
                </c:pt>
                <c:pt idx="33">
                  <c:v>106.1494359147499</c:v>
                </c:pt>
                <c:pt idx="34">
                  <c:v>104.0738764520276</c:v>
                </c:pt>
                <c:pt idx="35">
                  <c:v>101.9862695201202</c:v>
                </c:pt>
                <c:pt idx="36">
                  <c:v>99.88793369631032</c:v>
                </c:pt>
                <c:pt idx="37">
                  <c:v>97.78019433447888</c:v>
                </c:pt>
                <c:pt idx="38">
                  <c:v>95.66438272798271</c:v>
                </c:pt>
                <c:pt idx="39">
                  <c:v>93.54183526878163</c:v>
                </c:pt>
                <c:pt idx="40">
                  <c:v>91.41389260334418</c:v>
                </c:pt>
                <c:pt idx="41">
                  <c:v>89.28189878586691</c:v>
                </c:pt>
                <c:pt idx="42">
                  <c:v>87.14720042934087</c:v>
                </c:pt>
                <c:pt idx="43">
                  <c:v>85.01114585500183</c:v>
                </c:pt>
                <c:pt idx="44">
                  <c:v>82.87508424070191</c:v>
                </c:pt>
                <c:pt idx="45">
                  <c:v>80.7403647687397</c:v>
                </c:pt>
                <c:pt idx="46">
                  <c:v>78.60833577368803</c:v>
                </c:pt>
                <c:pt idx="47">
                  <c:v>76.4803438907568</c:v>
                </c:pt>
                <c:pt idx="48">
                  <c:v>74.35773320522935</c:v>
                </c:pt>
                <c:pt idx="49">
                  <c:v>72.24184440350944</c:v>
                </c:pt>
                <c:pt idx="50">
                  <c:v>70.13401392631493</c:v>
                </c:pt>
                <c:pt idx="51">
                  <c:v>68.0355731245532</c:v>
                </c:pt>
                <c:pt idx="52">
                  <c:v>65.94784741841134</c:v>
                </c:pt>
                <c:pt idx="53">
                  <c:v>63.87215546019241</c:v>
                </c:pt>
                <c:pt idx="54">
                  <c:v>61.80980830142641</c:v>
                </c:pt>
                <c:pt idx="55">
                  <c:v>59.76210856478182</c:v>
                </c:pt>
                <c:pt idx="56">
                  <c:v>57.73034962130157</c:v>
                </c:pt>
                <c:pt idx="57">
                  <c:v>55.71581477348184</c:v>
                </c:pt>
                <c:pt idx="58">
                  <c:v>53.71977644471082</c:v>
                </c:pt>
                <c:pt idx="59">
                  <c:v>51.74349537557886</c:v>
                </c:pt>
                <c:pt idx="60">
                  <c:v>49.78821982756769</c:v>
                </c:pt>
                <c:pt idx="61">
                  <c:v>47.85518479462154</c:v>
                </c:pt>
                <c:pt idx="62">
                  <c:v>45.94561122309884</c:v>
                </c:pt>
                <c:pt idx="63">
                  <c:v>44.06070524059595</c:v>
                </c:pt>
                <c:pt idx="64">
                  <c:v>42.20165739413137</c:v>
                </c:pt>
                <c:pt idx="65">
                  <c:v>40.36964189817066</c:v>
                </c:pt>
                <c:pt idx="66">
                  <c:v>38.5658158929674</c:v>
                </c:pt>
                <c:pt idx="67">
                  <c:v>36.79131871368858</c:v>
                </c:pt>
                <c:pt idx="68">
                  <c:v>35.04727117078613</c:v>
                </c:pt>
                <c:pt idx="69">
                  <c:v>33.33477484206902</c:v>
                </c:pt>
                <c:pt idx="70">
                  <c:v>31.65491137692314</c:v>
                </c:pt>
                <c:pt idx="71">
                  <c:v>30.00874181311822</c:v>
                </c:pt>
                <c:pt idx="72">
                  <c:v>28.39730590663373</c:v>
                </c:pt>
                <c:pt idx="73">
                  <c:v>26.8216214749268</c:v>
                </c:pt>
                <c:pt idx="74">
                  <c:v>25.2826837540568</c:v>
                </c:pt>
                <c:pt idx="75">
                  <c:v>23.78146477007285</c:v>
                </c:pt>
                <c:pt idx="76">
                  <c:v>22.31891272506146</c:v>
                </c:pt>
                <c:pt idx="77">
                  <c:v>20.89595139824173</c:v>
                </c:pt>
                <c:pt idx="78">
                  <c:v>19.51347956248663</c:v>
                </c:pt>
                <c:pt idx="79">
                  <c:v>18.17237041663864</c:v>
                </c:pt>
                <c:pt idx="80">
                  <c:v>16.8734710339788</c:v>
                </c:pt>
                <c:pt idx="81">
                  <c:v>15.61760182719705</c:v>
                </c:pt>
                <c:pt idx="82">
                  <c:v>14.40555603020194</c:v>
                </c:pt>
                <c:pt idx="83">
                  <c:v>13.23809919709711</c:v>
                </c:pt>
                <c:pt idx="84">
                  <c:v>12.11596871864092</c:v>
                </c:pt>
                <c:pt idx="85">
                  <c:v>11.03987335649463</c:v>
                </c:pt>
                <c:pt idx="86">
                  <c:v>10.01049279555337</c:v>
                </c:pt>
                <c:pt idx="87">
                  <c:v>9.02847721464254</c:v>
                </c:pt>
                <c:pt idx="88">
                  <c:v>8.094446875850984</c:v>
                </c:pt>
                <c:pt idx="89">
                  <c:v>7.208991732760123</c:v>
                </c:pt>
                <c:pt idx="90">
                  <c:v>6.372671057816655</c:v>
                </c:pt>
                <c:pt idx="91">
                  <c:v>5.586013089084062</c:v>
                </c:pt>
                <c:pt idx="92">
                  <c:v>4.849514696596156</c:v>
                </c:pt>
                <c:pt idx="93">
                  <c:v>4.163641068523297</c:v>
                </c:pt>
                <c:pt idx="94">
                  <c:v>3.528825417349575</c:v>
                </c:pt>
                <c:pt idx="95">
                  <c:v>2.945468706246533</c:v>
                </c:pt>
                <c:pt idx="96">
                  <c:v>2.41393939581622</c:v>
                </c:pt>
                <c:pt idx="97">
                  <c:v>1.934573211363584</c:v>
                </c:pt>
                <c:pt idx="98">
                  <c:v>1.507672930845174</c:v>
                </c:pt>
                <c:pt idx="99">
                  <c:v>1.133508193628088</c:v>
                </c:pt>
                <c:pt idx="100">
                  <c:v>0.812315330179976</c:v>
                </c:pt>
                <c:pt idx="101">
                  <c:v>0.544297212797647</c:v>
                </c:pt>
                <c:pt idx="102">
                  <c:v>0.329623127468578</c:v>
                </c:pt>
                <c:pt idx="103">
                  <c:v>0.16842866694626</c:v>
                </c:pt>
                <c:pt idx="104">
                  <c:v>0.0608156451069034</c:v>
                </c:pt>
                <c:pt idx="105">
                  <c:v>0.00685203264161492</c:v>
                </c:pt>
                <c:pt idx="106">
                  <c:v>0.00657191412465146</c:v>
                </c:pt>
                <c:pt idx="107">
                  <c:v>0.0599754664848722</c:v>
                </c:pt>
                <c:pt idx="108">
                  <c:v>0.167028958893987</c:v>
                </c:pt>
                <c:pt idx="109">
                  <c:v>0.327664774071669</c:v>
                </c:pt>
                <c:pt idx="110">
                  <c:v>0.541781450994081</c:v>
                </c:pt>
                <c:pt idx="111">
                  <c:v>0.809243748978831</c:v>
                </c:pt>
                <c:pt idx="112">
                  <c:v>1.129882733105884</c:v>
                </c:pt>
                <c:pt idx="113">
                  <c:v>1.503495880920482</c:v>
                </c:pt>
                <c:pt idx="114">
                  <c:v>1.929847210350667</c:v>
                </c:pt>
                <c:pt idx="115">
                  <c:v>2.408667428758611</c:v>
                </c:pt>
                <c:pt idx="116">
                  <c:v>2.939654103031621</c:v>
                </c:pt>
                <c:pt idx="117">
                  <c:v>3.522471850605378</c:v>
                </c:pt>
                <c:pt idx="118">
                  <c:v>4.156752551298749</c:v>
                </c:pt>
                <c:pt idx="119">
                  <c:v>4.842095579826384</c:v>
                </c:pt>
                <c:pt idx="120">
                  <c:v>5.57806805884223</c:v>
                </c:pt>
                <c:pt idx="121">
                  <c:v>6.364205132354153</c:v>
                </c:pt>
                <c:pt idx="122">
                  <c:v>7.200010259336929</c:v>
                </c:pt>
                <c:pt idx="123">
                  <c:v>8.084955527358212</c:v>
                </c:pt>
                <c:pt idx="124">
                  <c:v>9.018481986019335</c:v>
                </c:pt>
                <c:pt idx="125">
                  <c:v>10.00000000000036</c:v>
                </c:pt>
                <c:pt idx="126">
                  <c:v>11.02888962148638</c:v>
                </c:pt>
                <c:pt idx="127">
                  <c:v>12.10450098173988</c:v>
                </c:pt>
                <c:pt idx="128">
                  <c:v>13.2261547015717</c:v>
                </c:pt>
                <c:pt idx="129">
                  <c:v>14.39314232045154</c:v>
                </c:pt>
                <c:pt idx="130">
                  <c:v>15.60472674398683</c:v>
                </c:pt>
                <c:pt idx="131">
                  <c:v>16.86014270948725</c:v>
                </c:pt>
                <c:pt idx="132">
                  <c:v>18.15859726932118</c:v>
                </c:pt>
                <c:pt idx="133">
                  <c:v>19.49927029175834</c:v>
                </c:pt>
                <c:pt idx="134">
                  <c:v>20.88131497898257</c:v>
                </c:pt>
                <c:pt idx="135">
                  <c:v>22.3038584019475</c:v>
                </c:pt>
                <c:pt idx="136">
                  <c:v>23.76600205173723</c:v>
                </c:pt>
                <c:pt idx="137">
                  <c:v>25.26682240708387</c:v>
                </c:pt>
                <c:pt idx="138">
                  <c:v>26.80537151768328</c:v>
                </c:pt>
                <c:pt idx="139">
                  <c:v>28.38067760294088</c:v>
                </c:pt>
                <c:pt idx="140">
                  <c:v>29.99174566576904</c:v>
                </c:pt>
                <c:pt idx="141">
                  <c:v>31.63755812104863</c:v>
                </c:pt>
                <c:pt idx="142">
                  <c:v>33.31707543835753</c:v>
                </c:pt>
                <c:pt idx="143">
                  <c:v>35.02923679856037</c:v>
                </c:pt>
                <c:pt idx="144">
                  <c:v>36.77296076384459</c:v>
                </c:pt>
                <c:pt idx="145">
                  <c:v>38.54714596077977</c:v>
                </c:pt>
                <c:pt idx="146">
                  <c:v>40.35067177596875</c:v>
                </c:pt>
                <c:pt idx="147">
                  <c:v>42.18239906385094</c:v>
                </c:pt>
                <c:pt idx="148">
                  <c:v>44.04117086621117</c:v>
                </c:pt>
                <c:pt idx="149">
                  <c:v>45.92581314293926</c:v>
                </c:pt>
                <c:pt idx="150">
                  <c:v>47.83513551357896</c:v>
                </c:pt>
                <c:pt idx="151">
                  <c:v>49.76793200919769</c:v>
                </c:pt>
                <c:pt idx="152">
                  <c:v>51.72298183410241</c:v>
                </c:pt>
                <c:pt idx="153">
                  <c:v>53.69905013692036</c:v>
                </c:pt>
                <c:pt idx="154">
                  <c:v>55.6948887905576</c:v>
                </c:pt>
                <c:pt idx="155">
                  <c:v>57.70923718054291</c:v>
                </c:pt>
                <c:pt idx="156">
                  <c:v>59.74082300125882</c:v>
                </c:pt>
                <c:pt idx="157">
                  <c:v>61.78836305955718</c:v>
                </c:pt>
                <c:pt idx="158">
                  <c:v>63.85056408525143</c:v>
                </c:pt>
                <c:pt idx="159">
                  <c:v>65.92612354797375</c:v>
                </c:pt>
                <c:pt idx="160">
                  <c:v>68.01373047988119</c:v>
                </c:pt>
                <c:pt idx="161">
                  <c:v>70.11206630369107</c:v>
                </c:pt>
                <c:pt idx="162">
                  <c:v>72.21980566552255</c:v>
                </c:pt>
                <c:pt idx="163">
                  <c:v>74.33561727201872</c:v>
                </c:pt>
                <c:pt idx="164">
                  <c:v>76.45816473121985</c:v>
                </c:pt>
                <c:pt idx="165">
                  <c:v>78.58610739665733</c:v>
                </c:pt>
                <c:pt idx="166">
                  <c:v>80.71810121413458</c:v>
                </c:pt>
                <c:pt idx="167">
                  <c:v>82.85279957066068</c:v>
                </c:pt>
                <c:pt idx="168">
                  <c:v>84.98885414499973</c:v>
                </c:pt>
                <c:pt idx="169">
                  <c:v>87.12491575929971</c:v>
                </c:pt>
                <c:pt idx="170">
                  <c:v>89.25963523126188</c:v>
                </c:pt>
                <c:pt idx="171">
                  <c:v>91.3916642263136</c:v>
                </c:pt>
                <c:pt idx="172">
                  <c:v>93.51965610924482</c:v>
                </c:pt>
                <c:pt idx="173">
                  <c:v>95.6422667947723</c:v>
                </c:pt>
                <c:pt idx="174">
                  <c:v>97.7581555964922</c:v>
                </c:pt>
                <c:pt idx="175">
                  <c:v>99.86598607368676</c:v>
                </c:pt>
                <c:pt idx="176">
                  <c:v>101.9644268754485</c:v>
                </c:pt>
                <c:pt idx="177">
                  <c:v>104.0521525815903</c:v>
                </c:pt>
                <c:pt idx="178">
                  <c:v>106.1278445398093</c:v>
                </c:pt>
                <c:pt idx="179">
                  <c:v>108.1901916985753</c:v>
                </c:pt>
                <c:pt idx="180">
                  <c:v>110.2378914352199</c:v>
                </c:pt>
                <c:pt idx="181">
                  <c:v>112.2696503787001</c:v>
                </c:pt>
                <c:pt idx="182">
                  <c:v>114.2841852265198</c:v>
                </c:pt>
                <c:pt idx="183">
                  <c:v>116.280223555291</c:v>
                </c:pt>
                <c:pt idx="184">
                  <c:v>118.2565046244228</c:v>
                </c:pt>
                <c:pt idx="185">
                  <c:v>120.211780172434</c:v>
                </c:pt>
                <c:pt idx="186">
                  <c:v>122.1448152053802</c:v>
                </c:pt>
                <c:pt idx="187">
                  <c:v>124.0543887769029</c:v>
                </c:pt>
                <c:pt idx="188">
                  <c:v>125.9392947594058</c:v>
                </c:pt>
                <c:pt idx="189">
                  <c:v>127.7983426058703</c:v>
                </c:pt>
                <c:pt idx="190">
                  <c:v>129.630358101831</c:v>
                </c:pt>
                <c:pt idx="191">
                  <c:v>131.4341841070342</c:v>
                </c:pt>
                <c:pt idx="192">
                  <c:v>133.2086812863131</c:v>
                </c:pt>
                <c:pt idx="193">
                  <c:v>134.9527288292155</c:v>
                </c:pt>
                <c:pt idx="194">
                  <c:v>136.6652251579326</c:v>
                </c:pt>
                <c:pt idx="195">
                  <c:v>138.3450886230785</c:v>
                </c:pt>
                <c:pt idx="196">
                  <c:v>139.9912581868834</c:v>
                </c:pt>
                <c:pt idx="197">
                  <c:v>141.6026940933679</c:v>
                </c:pt>
                <c:pt idx="198">
                  <c:v>143.1783785250747</c:v>
                </c:pt>
                <c:pt idx="199">
                  <c:v>144.7173162459447</c:v>
                </c:pt>
                <c:pt idx="200">
                  <c:v>146.2185352299286</c:v>
                </c:pt>
                <c:pt idx="201">
                  <c:v>147.68108727494</c:v>
                </c:pt>
                <c:pt idx="202">
                  <c:v>149.1040486017597</c:v>
                </c:pt>
                <c:pt idx="203">
                  <c:v>150.4865204375148</c:v>
                </c:pt>
                <c:pt idx="204">
                  <c:v>151.8276295833628</c:v>
                </c:pt>
                <c:pt idx="205">
                  <c:v>153.1265289660225</c:v>
                </c:pt>
                <c:pt idx="206">
                  <c:v>154.3823981728042</c:v>
                </c:pt>
                <c:pt idx="207">
                  <c:v>155.5944439697993</c:v>
                </c:pt>
                <c:pt idx="208">
                  <c:v>156.7619008029041</c:v>
                </c:pt>
                <c:pt idx="209">
                  <c:v>157.8840312813602</c:v>
                </c:pt>
                <c:pt idx="210">
                  <c:v>158.9601266435065</c:v>
                </c:pt>
                <c:pt idx="211">
                  <c:v>159.9895072044477</c:v>
                </c:pt>
                <c:pt idx="212">
                  <c:v>160.9715227853585</c:v>
                </c:pt>
                <c:pt idx="213">
                  <c:v>161.90555312415</c:v>
                </c:pt>
                <c:pt idx="214">
                  <c:v>162.7910082672408</c:v>
                </c:pt>
                <c:pt idx="215">
                  <c:v>163.6273289421842</c:v>
                </c:pt>
                <c:pt idx="216">
                  <c:v>164.4139869109167</c:v>
                </c:pt>
                <c:pt idx="217">
                  <c:v>165.1504853034046</c:v>
                </c:pt>
                <c:pt idx="218">
                  <c:v>165.8363589314774</c:v>
                </c:pt>
                <c:pt idx="219">
                  <c:v>166.4711745826511</c:v>
                </c:pt>
                <c:pt idx="220">
                  <c:v>167.0545312937541</c:v>
                </c:pt>
                <c:pt idx="221">
                  <c:v>167.5860606041843</c:v>
                </c:pt>
                <c:pt idx="222">
                  <c:v>168.0654267886369</c:v>
                </c:pt>
                <c:pt idx="223">
                  <c:v>168.4923270691553</c:v>
                </c:pt>
                <c:pt idx="224">
                  <c:v>168.8664918063723</c:v>
                </c:pt>
                <c:pt idx="225">
                  <c:v>169.1876846698204</c:v>
                </c:pt>
                <c:pt idx="226">
                  <c:v>169.4557027872026</c:v>
                </c:pt>
                <c:pt idx="227">
                  <c:v>169.6703768725316</c:v>
                </c:pt>
                <c:pt idx="228">
                  <c:v>169.8315713330539</c:v>
                </c:pt>
                <c:pt idx="229">
                  <c:v>169.9391843548932</c:v>
                </c:pt>
                <c:pt idx="230">
                  <c:v>169.9931479673584</c:v>
                </c:pt>
                <c:pt idx="231">
                  <c:v>169.9934280858753</c:v>
                </c:pt>
                <c:pt idx="232">
                  <c:v>169.940024533515</c:v>
                </c:pt>
                <c:pt idx="233">
                  <c:v>169.8329710411059</c:v>
                </c:pt>
                <c:pt idx="234">
                  <c:v>169.6723352259281</c:v>
                </c:pt>
                <c:pt idx="235">
                  <c:v>169.4582185490057</c:v>
                </c:pt>
                <c:pt idx="236">
                  <c:v>169.1907562510208</c:v>
                </c:pt>
                <c:pt idx="237">
                  <c:v>168.8701172668937</c:v>
                </c:pt>
                <c:pt idx="238">
                  <c:v>168.4965041190791</c:v>
                </c:pt>
                <c:pt idx="239">
                  <c:v>168.0701527896488</c:v>
                </c:pt>
                <c:pt idx="240">
                  <c:v>167.5913325712409</c:v>
                </c:pt>
                <c:pt idx="241">
                  <c:v>167.0603458969678</c:v>
                </c:pt>
                <c:pt idx="242">
                  <c:v>166.477528149394</c:v>
                </c:pt>
                <c:pt idx="243">
                  <c:v>165.8432474487005</c:v>
                </c:pt>
                <c:pt idx="244">
                  <c:v>165.1579044201729</c:v>
                </c:pt>
                <c:pt idx="245">
                  <c:v>164.421931941157</c:v>
                </c:pt>
                <c:pt idx="246">
                  <c:v>163.635794867645</c:v>
                </c:pt>
                <c:pt idx="247">
                  <c:v>162.7999897406621</c:v>
                </c:pt>
                <c:pt idx="248">
                  <c:v>161.9150444726408</c:v>
                </c:pt>
                <c:pt idx="249">
                  <c:v>160.9815180139796</c:v>
                </c:pt>
                <c:pt idx="250">
                  <c:v>159.9999999999986</c:v>
                </c:pt>
                <c:pt idx="251">
                  <c:v>158.9711103785125</c:v>
                </c:pt>
                <c:pt idx="252">
                  <c:v>157.895499018259</c:v>
                </c:pt>
                <c:pt idx="253">
                  <c:v>156.7738452984271</c:v>
                </c:pt>
                <c:pt idx="254">
                  <c:v>155.6068576795472</c:v>
                </c:pt>
                <c:pt idx="255">
                  <c:v>154.3952732560119</c:v>
                </c:pt>
                <c:pt idx="256">
                  <c:v>153.1398572905114</c:v>
                </c:pt>
                <c:pt idx="257">
                  <c:v>151.8414027306774</c:v>
                </c:pt>
                <c:pt idx="258">
                  <c:v>150.5007297082402</c:v>
                </c:pt>
                <c:pt idx="259">
                  <c:v>149.1186850210159</c:v>
                </c:pt>
                <c:pt idx="260">
                  <c:v>147.696141598051</c:v>
                </c:pt>
                <c:pt idx="261">
                  <c:v>146.2339979482612</c:v>
                </c:pt>
                <c:pt idx="262">
                  <c:v>144.7331775929146</c:v>
                </c:pt>
                <c:pt idx="263">
                  <c:v>143.1946284823151</c:v>
                </c:pt>
                <c:pt idx="264">
                  <c:v>141.6193223970575</c:v>
                </c:pt>
                <c:pt idx="265">
                  <c:v>140.0082543342293</c:v>
                </c:pt>
                <c:pt idx="266">
                  <c:v>138.3624418789496</c:v>
                </c:pt>
                <c:pt idx="267">
                  <c:v>136.6829245616407</c:v>
                </c:pt>
                <c:pt idx="268">
                  <c:v>134.9707632014378</c:v>
                </c:pt>
                <c:pt idx="269">
                  <c:v>133.2270392361536</c:v>
                </c:pt>
                <c:pt idx="270">
                  <c:v>131.4528540392183</c:v>
                </c:pt>
                <c:pt idx="271">
                  <c:v>129.6493282240293</c:v>
                </c:pt>
                <c:pt idx="272">
                  <c:v>127.8176009361471</c:v>
                </c:pt>
                <c:pt idx="273">
                  <c:v>125.9588291337869</c:v>
                </c:pt>
                <c:pt idx="274">
                  <c:v>124.0741868570587</c:v>
                </c:pt>
                <c:pt idx="275">
                  <c:v>122.164864486419</c:v>
                </c:pt>
                <c:pt idx="276">
                  <c:v>120.2320679908003</c:v>
                </c:pt>
                <c:pt idx="277">
                  <c:v>118.2770181658955</c:v>
                </c:pt>
                <c:pt idx="278">
                  <c:v>116.3009498630775</c:v>
                </c:pt>
                <c:pt idx="279">
                  <c:v>114.3051112094403</c:v>
                </c:pt>
                <c:pt idx="280">
                  <c:v>112.2907628194549</c:v>
                </c:pt>
                <c:pt idx="281">
                  <c:v>110.259176998739</c:v>
                </c:pt>
                <c:pt idx="282">
                  <c:v>108.2116369404407</c:v>
                </c:pt>
                <c:pt idx="283">
                  <c:v>106.1494359147464</c:v>
                </c:pt>
                <c:pt idx="284">
                  <c:v>104.073876452024</c:v>
                </c:pt>
                <c:pt idx="285">
                  <c:v>101.9862695201166</c:v>
                </c:pt>
                <c:pt idx="286">
                  <c:v>99.8879336963067</c:v>
                </c:pt>
                <c:pt idx="287">
                  <c:v>97.78019433447524</c:v>
                </c:pt>
                <c:pt idx="288">
                  <c:v>95.66438272797903</c:v>
                </c:pt>
                <c:pt idx="289">
                  <c:v>93.54183526877788</c:v>
                </c:pt>
                <c:pt idx="290">
                  <c:v>91.41389260334044</c:v>
                </c:pt>
                <c:pt idx="291">
                  <c:v>89.28189878586316</c:v>
                </c:pt>
                <c:pt idx="292">
                  <c:v>87.1472004293371</c:v>
                </c:pt>
                <c:pt idx="293">
                  <c:v>85.01114585499804</c:v>
                </c:pt>
                <c:pt idx="294">
                  <c:v>82.87508424069804</c:v>
                </c:pt>
                <c:pt idx="295">
                  <c:v>80.74036476873585</c:v>
                </c:pt>
                <c:pt idx="296">
                  <c:v>78.60833577368417</c:v>
                </c:pt>
                <c:pt idx="297">
                  <c:v>76.48034389075292</c:v>
                </c:pt>
                <c:pt idx="298">
                  <c:v>74.35773320522545</c:v>
                </c:pt>
                <c:pt idx="299">
                  <c:v>72.24184440350558</c:v>
                </c:pt>
                <c:pt idx="300">
                  <c:v>70.13401392631105</c:v>
                </c:pt>
                <c:pt idx="301">
                  <c:v>68.03557312454933</c:v>
                </c:pt>
                <c:pt idx="302">
                  <c:v>65.94784741840746</c:v>
                </c:pt>
                <c:pt idx="303">
                  <c:v>63.87215546018854</c:v>
                </c:pt>
                <c:pt idx="304">
                  <c:v>61.80980830142253</c:v>
                </c:pt>
                <c:pt idx="305">
                  <c:v>59.76210856477798</c:v>
                </c:pt>
                <c:pt idx="306">
                  <c:v>57.73034962129775</c:v>
                </c:pt>
                <c:pt idx="307">
                  <c:v>55.715814773478</c:v>
                </c:pt>
                <c:pt idx="308">
                  <c:v>53.71977644470702</c:v>
                </c:pt>
                <c:pt idx="309">
                  <c:v>51.7434953755751</c:v>
                </c:pt>
                <c:pt idx="310">
                  <c:v>49.78821982756392</c:v>
                </c:pt>
                <c:pt idx="311">
                  <c:v>47.85518479461783</c:v>
                </c:pt>
                <c:pt idx="312">
                  <c:v>45.94561122309513</c:v>
                </c:pt>
                <c:pt idx="313">
                  <c:v>44.06070524059225</c:v>
                </c:pt>
                <c:pt idx="314">
                  <c:v>42.20165739412774</c:v>
                </c:pt>
                <c:pt idx="315">
                  <c:v>40.36964189816708</c:v>
                </c:pt>
                <c:pt idx="316">
                  <c:v>38.56581589296384</c:v>
                </c:pt>
                <c:pt idx="317">
                  <c:v>36.79131871368506</c:v>
                </c:pt>
                <c:pt idx="318">
                  <c:v>35.04727117078267</c:v>
                </c:pt>
                <c:pt idx="319">
                  <c:v>33.33477484206563</c:v>
                </c:pt>
                <c:pt idx="320">
                  <c:v>31.65491137691978</c:v>
                </c:pt>
                <c:pt idx="321">
                  <c:v>30.00874181311489</c:v>
                </c:pt>
                <c:pt idx="322">
                  <c:v>28.39730590663048</c:v>
                </c:pt>
                <c:pt idx="323">
                  <c:v>26.82162147492362</c:v>
                </c:pt>
                <c:pt idx="324">
                  <c:v>25.28268375405366</c:v>
                </c:pt>
                <c:pt idx="325">
                  <c:v>23.78146477006977</c:v>
                </c:pt>
                <c:pt idx="326">
                  <c:v>22.31891272505846</c:v>
                </c:pt>
                <c:pt idx="327">
                  <c:v>20.89595139823882</c:v>
                </c:pt>
                <c:pt idx="328">
                  <c:v>19.51347956248378</c:v>
                </c:pt>
                <c:pt idx="329">
                  <c:v>18.17237041663585</c:v>
                </c:pt>
                <c:pt idx="330">
                  <c:v>16.87347103397611</c:v>
                </c:pt>
                <c:pt idx="331">
                  <c:v>15.61760182719444</c:v>
                </c:pt>
                <c:pt idx="332">
                  <c:v>14.40555603019943</c:v>
                </c:pt>
                <c:pt idx="333">
                  <c:v>13.23809919709469</c:v>
                </c:pt>
                <c:pt idx="334">
                  <c:v>12.11596871863859</c:v>
                </c:pt>
                <c:pt idx="335">
                  <c:v>11.03987335649241</c:v>
                </c:pt>
                <c:pt idx="336">
                  <c:v>10.01049279555125</c:v>
                </c:pt>
                <c:pt idx="337">
                  <c:v>9.028477214640517</c:v>
                </c:pt>
                <c:pt idx="338">
                  <c:v>8.09444687584906</c:v>
                </c:pt>
                <c:pt idx="339">
                  <c:v>7.208991732758306</c:v>
                </c:pt>
                <c:pt idx="340">
                  <c:v>6.372671057814943</c:v>
                </c:pt>
                <c:pt idx="341">
                  <c:v>5.586013089082455</c:v>
                </c:pt>
                <c:pt idx="342">
                  <c:v>4.849514696594656</c:v>
                </c:pt>
                <c:pt idx="343">
                  <c:v>4.163641068521901</c:v>
                </c:pt>
                <c:pt idx="344">
                  <c:v>3.528825417348289</c:v>
                </c:pt>
                <c:pt idx="345">
                  <c:v>2.945468706245355</c:v>
                </c:pt>
                <c:pt idx="346">
                  <c:v>2.413939395815153</c:v>
                </c:pt>
                <c:pt idx="347">
                  <c:v>1.934573211362628</c:v>
                </c:pt>
                <c:pt idx="348">
                  <c:v>1.507672930844328</c:v>
                </c:pt>
                <c:pt idx="349">
                  <c:v>1.133508193627354</c:v>
                </c:pt>
                <c:pt idx="350">
                  <c:v>0.812315330179354</c:v>
                </c:pt>
                <c:pt idx="351">
                  <c:v>0.544297212797137</c:v>
                </c:pt>
                <c:pt idx="352">
                  <c:v>0.329623127468181</c:v>
                </c:pt>
                <c:pt idx="353">
                  <c:v>0.168428666945976</c:v>
                </c:pt>
                <c:pt idx="354">
                  <c:v>0.0608156451067328</c:v>
                </c:pt>
                <c:pt idx="355">
                  <c:v>0.00685203264155767</c:v>
                </c:pt>
                <c:pt idx="356">
                  <c:v>0.00657191412470753</c:v>
                </c:pt>
                <c:pt idx="357">
                  <c:v>0.0599754664850415</c:v>
                </c:pt>
                <c:pt idx="358">
                  <c:v>0.167028958894269</c:v>
                </c:pt>
                <c:pt idx="359">
                  <c:v>0.327664774072064</c:v>
                </c:pt>
                <c:pt idx="360">
                  <c:v>0.541781450994589</c:v>
                </c:pt>
                <c:pt idx="361">
                  <c:v>0.809243748979451</c:v>
                </c:pt>
                <c:pt idx="362">
                  <c:v>1.129882733106617</c:v>
                </c:pt>
                <c:pt idx="363">
                  <c:v>1.503495880921327</c:v>
                </c:pt>
                <c:pt idx="364">
                  <c:v>1.929847210351623</c:v>
                </c:pt>
                <c:pt idx="365">
                  <c:v>2.408667428759677</c:v>
                </c:pt>
                <c:pt idx="366">
                  <c:v>2.939654103032797</c:v>
                </c:pt>
                <c:pt idx="367">
                  <c:v>3.522471850606665</c:v>
                </c:pt>
                <c:pt idx="368">
                  <c:v>4.156752551300142</c:v>
                </c:pt>
                <c:pt idx="369">
                  <c:v>4.842095579827882</c:v>
                </c:pt>
                <c:pt idx="370">
                  <c:v>5.578068058843838</c:v>
                </c:pt>
                <c:pt idx="371">
                  <c:v>6.364205132355865</c:v>
                </c:pt>
                <c:pt idx="372">
                  <c:v>7.200010259338746</c:v>
                </c:pt>
                <c:pt idx="373">
                  <c:v>8.084955527360131</c:v>
                </c:pt>
                <c:pt idx="374">
                  <c:v>9.018481986021355</c:v>
                </c:pt>
                <c:pt idx="375">
                  <c:v>10.00000000000248</c:v>
                </c:pt>
                <c:pt idx="376">
                  <c:v>11.0288896214886</c:v>
                </c:pt>
                <c:pt idx="377">
                  <c:v>12.1045009817422</c:v>
                </c:pt>
                <c:pt idx="378">
                  <c:v>13.22615470157411</c:v>
                </c:pt>
                <c:pt idx="379">
                  <c:v>14.39314232045405</c:v>
                </c:pt>
                <c:pt idx="380">
                  <c:v>15.60472674398943</c:v>
                </c:pt>
                <c:pt idx="381">
                  <c:v>16.86014270948994</c:v>
                </c:pt>
                <c:pt idx="382">
                  <c:v>18.15859726932397</c:v>
                </c:pt>
                <c:pt idx="383">
                  <c:v>19.49927029176121</c:v>
                </c:pt>
                <c:pt idx="384">
                  <c:v>20.88131497898552</c:v>
                </c:pt>
                <c:pt idx="385">
                  <c:v>22.30385840195053</c:v>
                </c:pt>
                <c:pt idx="386">
                  <c:v>23.76600205174035</c:v>
                </c:pt>
                <c:pt idx="387">
                  <c:v>25.26682240708707</c:v>
                </c:pt>
                <c:pt idx="388">
                  <c:v>26.80537151768657</c:v>
                </c:pt>
                <c:pt idx="389">
                  <c:v>28.38067760294424</c:v>
                </c:pt>
                <c:pt idx="390">
                  <c:v>29.99174566577249</c:v>
                </c:pt>
                <c:pt idx="391">
                  <c:v>31.63755812105214</c:v>
                </c:pt>
                <c:pt idx="392">
                  <c:v>33.31707543836112</c:v>
                </c:pt>
                <c:pt idx="393">
                  <c:v>35.029236798564</c:v>
                </c:pt>
                <c:pt idx="394">
                  <c:v>36.7729607638483</c:v>
                </c:pt>
                <c:pt idx="395">
                  <c:v>38.54714596078355</c:v>
                </c:pt>
                <c:pt idx="396">
                  <c:v>40.35067177597259</c:v>
                </c:pt>
                <c:pt idx="397">
                  <c:v>42.18239906385482</c:v>
                </c:pt>
                <c:pt idx="398">
                  <c:v>44.04117086621511</c:v>
                </c:pt>
                <c:pt idx="399">
                  <c:v>45.92581314294327</c:v>
                </c:pt>
                <c:pt idx="400">
                  <c:v>47.835135513583</c:v>
                </c:pt>
                <c:pt idx="401">
                  <c:v>49.76793200920178</c:v>
                </c:pt>
                <c:pt idx="402">
                  <c:v>51.72298183410654</c:v>
                </c:pt>
                <c:pt idx="403">
                  <c:v>53.69905013692456</c:v>
                </c:pt>
                <c:pt idx="404">
                  <c:v>55.69488879056184</c:v>
                </c:pt>
                <c:pt idx="405">
                  <c:v>57.70923718054718</c:v>
                </c:pt>
                <c:pt idx="406">
                  <c:v>59.74082300126314</c:v>
                </c:pt>
                <c:pt idx="407">
                  <c:v>61.78836305956153</c:v>
                </c:pt>
                <c:pt idx="408">
                  <c:v>63.85056408525581</c:v>
                </c:pt>
                <c:pt idx="409">
                  <c:v>65.92612354797816</c:v>
                </c:pt>
                <c:pt idx="410">
                  <c:v>68.01373047988561</c:v>
                </c:pt>
                <c:pt idx="411">
                  <c:v>70.11206630369549</c:v>
                </c:pt>
                <c:pt idx="412">
                  <c:v>72.219805665527</c:v>
                </c:pt>
                <c:pt idx="413">
                  <c:v>74.33561727202319</c:v>
                </c:pt>
                <c:pt idx="414">
                  <c:v>76.45816473122434</c:v>
                </c:pt>
                <c:pt idx="415">
                  <c:v>78.58610739666184</c:v>
                </c:pt>
                <c:pt idx="416">
                  <c:v>80.7181012141391</c:v>
                </c:pt>
                <c:pt idx="417">
                  <c:v>82.8527995706652</c:v>
                </c:pt>
                <c:pt idx="418">
                  <c:v>84.98885414500424</c:v>
                </c:pt>
                <c:pt idx="419">
                  <c:v>87.12491575930421</c:v>
                </c:pt>
                <c:pt idx="420">
                  <c:v>89.2596352312664</c:v>
                </c:pt>
                <c:pt idx="421">
                  <c:v>91.39166422631808</c:v>
                </c:pt>
                <c:pt idx="422">
                  <c:v>93.51965610924932</c:v>
                </c:pt>
                <c:pt idx="423">
                  <c:v>95.64226679477677</c:v>
                </c:pt>
                <c:pt idx="424">
                  <c:v>97.75815559649669</c:v>
                </c:pt>
                <c:pt idx="425">
                  <c:v>99.86598607369116</c:v>
                </c:pt>
                <c:pt idx="426">
                  <c:v>101.9644268754529</c:v>
                </c:pt>
                <c:pt idx="427">
                  <c:v>104.0521525815947</c:v>
                </c:pt>
                <c:pt idx="428">
                  <c:v>106.1278445398136</c:v>
                </c:pt>
                <c:pt idx="429">
                  <c:v>108.1901916985796</c:v>
                </c:pt>
                <c:pt idx="430">
                  <c:v>110.2378914352242</c:v>
                </c:pt>
                <c:pt idx="431">
                  <c:v>112.2696503787044</c:v>
                </c:pt>
                <c:pt idx="432">
                  <c:v>114.2841852265241</c:v>
                </c:pt>
                <c:pt idx="433">
                  <c:v>116.2802235552951</c:v>
                </c:pt>
                <c:pt idx="434">
                  <c:v>118.256504624427</c:v>
                </c:pt>
                <c:pt idx="435">
                  <c:v>120.2117801724381</c:v>
                </c:pt>
                <c:pt idx="436">
                  <c:v>122.1448152053842</c:v>
                </c:pt>
                <c:pt idx="437">
                  <c:v>124.0543887769068</c:v>
                </c:pt>
                <c:pt idx="438">
                  <c:v>125.9392947594097</c:v>
                </c:pt>
                <c:pt idx="439">
                  <c:v>127.7983426058742</c:v>
                </c:pt>
                <c:pt idx="440">
                  <c:v>129.6303581018348</c:v>
                </c:pt>
                <c:pt idx="441">
                  <c:v>131.434184107038</c:v>
                </c:pt>
                <c:pt idx="442">
                  <c:v>133.2086812863168</c:v>
                </c:pt>
                <c:pt idx="443">
                  <c:v>134.9527288292191</c:v>
                </c:pt>
                <c:pt idx="444">
                  <c:v>136.6652251579362</c:v>
                </c:pt>
                <c:pt idx="445">
                  <c:v>138.345088623082</c:v>
                </c:pt>
                <c:pt idx="446">
                  <c:v>139.9912581868868</c:v>
                </c:pt>
                <c:pt idx="447">
                  <c:v>141.6026940933712</c:v>
                </c:pt>
                <c:pt idx="448">
                  <c:v>143.178378525078</c:v>
                </c:pt>
                <c:pt idx="449">
                  <c:v>144.717316245948</c:v>
                </c:pt>
                <c:pt idx="450">
                  <c:v>146.2185352299318</c:v>
                </c:pt>
                <c:pt idx="451">
                  <c:v>147.6810872749431</c:v>
                </c:pt>
                <c:pt idx="452">
                  <c:v>149.1040486017627</c:v>
                </c:pt>
                <c:pt idx="453">
                  <c:v>150.4865204375176</c:v>
                </c:pt>
                <c:pt idx="454">
                  <c:v>151.8276295833655</c:v>
                </c:pt>
                <c:pt idx="455">
                  <c:v>153.1265289660252</c:v>
                </c:pt>
                <c:pt idx="456">
                  <c:v>154.3823981728069</c:v>
                </c:pt>
                <c:pt idx="457">
                  <c:v>155.5944439698018</c:v>
                </c:pt>
                <c:pt idx="458">
                  <c:v>156.7619008029065</c:v>
                </c:pt>
                <c:pt idx="459">
                  <c:v>157.8840312813626</c:v>
                </c:pt>
                <c:pt idx="460">
                  <c:v>158.9601266435087</c:v>
                </c:pt>
                <c:pt idx="461">
                  <c:v>159.9895072044498</c:v>
                </c:pt>
                <c:pt idx="462">
                  <c:v>160.9715227853605</c:v>
                </c:pt>
                <c:pt idx="463">
                  <c:v>161.9055531241519</c:v>
                </c:pt>
                <c:pt idx="464">
                  <c:v>162.7910082672426</c:v>
                </c:pt>
                <c:pt idx="465">
                  <c:v>163.627328942186</c:v>
                </c:pt>
                <c:pt idx="466">
                  <c:v>164.4139869109183</c:v>
                </c:pt>
                <c:pt idx="467">
                  <c:v>165.1504853034061</c:v>
                </c:pt>
                <c:pt idx="468">
                  <c:v>165.8363589314788</c:v>
                </c:pt>
                <c:pt idx="469">
                  <c:v>166.4711745826524</c:v>
                </c:pt>
                <c:pt idx="470">
                  <c:v>167.0545312937552</c:v>
                </c:pt>
                <c:pt idx="471">
                  <c:v>167.5860606041854</c:v>
                </c:pt>
                <c:pt idx="472">
                  <c:v>168.0654267886378</c:v>
                </c:pt>
                <c:pt idx="473">
                  <c:v>168.4923270691561</c:v>
                </c:pt>
                <c:pt idx="474">
                  <c:v>168.866491806373</c:v>
                </c:pt>
                <c:pt idx="475">
                  <c:v>169.187684669821</c:v>
                </c:pt>
                <c:pt idx="476">
                  <c:v>169.4557027872031</c:v>
                </c:pt>
                <c:pt idx="477">
                  <c:v>169.6703768725321</c:v>
                </c:pt>
                <c:pt idx="478">
                  <c:v>169.8315713330542</c:v>
                </c:pt>
                <c:pt idx="479">
                  <c:v>169.9391843548933</c:v>
                </c:pt>
                <c:pt idx="480">
                  <c:v>169.9931479673585</c:v>
                </c:pt>
                <c:pt idx="481">
                  <c:v>169.9934280858753</c:v>
                </c:pt>
                <c:pt idx="482">
                  <c:v>169.9400245335149</c:v>
                </c:pt>
                <c:pt idx="483">
                  <c:v>169.8329710411056</c:v>
                </c:pt>
                <c:pt idx="484">
                  <c:v>169.6723352259278</c:v>
                </c:pt>
                <c:pt idx="485">
                  <c:v>169.4582185490051</c:v>
                </c:pt>
                <c:pt idx="486">
                  <c:v>169.1907562510202</c:v>
                </c:pt>
                <c:pt idx="487">
                  <c:v>168.870117266893</c:v>
                </c:pt>
                <c:pt idx="488">
                  <c:v>168.4965041190782</c:v>
                </c:pt>
                <c:pt idx="489">
                  <c:v>168.0701527896479</c:v>
                </c:pt>
                <c:pt idx="490">
                  <c:v>167.5913325712398</c:v>
                </c:pt>
                <c:pt idx="491">
                  <c:v>167.0603458969666</c:v>
                </c:pt>
                <c:pt idx="492">
                  <c:v>166.4775281493927</c:v>
                </c:pt>
                <c:pt idx="493">
                  <c:v>165.8432474486991</c:v>
                </c:pt>
                <c:pt idx="494">
                  <c:v>165.1579044201713</c:v>
                </c:pt>
                <c:pt idx="495">
                  <c:v>164.4219319411553</c:v>
                </c:pt>
                <c:pt idx="496">
                  <c:v>163.6357948676433</c:v>
                </c:pt>
                <c:pt idx="497">
                  <c:v>162.7999897406604</c:v>
                </c:pt>
                <c:pt idx="498">
                  <c:v>161.915044472639</c:v>
                </c:pt>
                <c:pt idx="499">
                  <c:v>160.9815180139776</c:v>
                </c:pt>
                <c:pt idx="500">
                  <c:v>159.9999999999965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'Analytical Steps'!$E$1</c:f>
              <c:strCache>
                <c:ptCount val="1"/>
                <c:pt idx="0">
                  <c:v>Potential Energy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Steps'!$E$2:$E$502</c:f>
              <c:numCache>
                <c:formatCode>General</c:formatCode>
                <c:ptCount val="501"/>
                <c:pt idx="0">
                  <c:v>9.999999999999998</c:v>
                </c:pt>
                <c:pt idx="1">
                  <c:v>11.02888962148599</c:v>
                </c:pt>
                <c:pt idx="2">
                  <c:v>12.10450098173947</c:v>
                </c:pt>
                <c:pt idx="3">
                  <c:v>13.22615470157126</c:v>
                </c:pt>
                <c:pt idx="4">
                  <c:v>14.39314232045108</c:v>
                </c:pt>
                <c:pt idx="5">
                  <c:v>15.60472674398633</c:v>
                </c:pt>
                <c:pt idx="6">
                  <c:v>16.86014270948672</c:v>
                </c:pt>
                <c:pt idx="7">
                  <c:v>18.15859726932063</c:v>
                </c:pt>
                <c:pt idx="8">
                  <c:v>19.49927029175776</c:v>
                </c:pt>
                <c:pt idx="9">
                  <c:v>20.88131497898196</c:v>
                </c:pt>
                <c:pt idx="10">
                  <c:v>22.30385840194685</c:v>
                </c:pt>
                <c:pt idx="11">
                  <c:v>23.76600205173656</c:v>
                </c:pt>
                <c:pt idx="12">
                  <c:v>25.26682240708316</c:v>
                </c:pt>
                <c:pt idx="13">
                  <c:v>26.80537151768254</c:v>
                </c:pt>
                <c:pt idx="14">
                  <c:v>28.38067760294011</c:v>
                </c:pt>
                <c:pt idx="15">
                  <c:v>29.99174566576825</c:v>
                </c:pt>
                <c:pt idx="16">
                  <c:v>31.63755812104781</c:v>
                </c:pt>
                <c:pt idx="17">
                  <c:v>33.31707543835667</c:v>
                </c:pt>
                <c:pt idx="18">
                  <c:v>35.02923679855946</c:v>
                </c:pt>
                <c:pt idx="19">
                  <c:v>36.77296076384366</c:v>
                </c:pt>
                <c:pt idx="20">
                  <c:v>38.54714596077883</c:v>
                </c:pt>
                <c:pt idx="21">
                  <c:v>40.35067177596777</c:v>
                </c:pt>
                <c:pt idx="22">
                  <c:v>42.18239906384994</c:v>
                </c:pt>
                <c:pt idx="23">
                  <c:v>44.04117086621012</c:v>
                </c:pt>
                <c:pt idx="24">
                  <c:v>45.9258131429382</c:v>
                </c:pt>
                <c:pt idx="25">
                  <c:v>47.83513551357783</c:v>
                </c:pt>
                <c:pt idx="26">
                  <c:v>49.76793200919656</c:v>
                </c:pt>
                <c:pt idx="27">
                  <c:v>51.72298183410124</c:v>
                </c:pt>
                <c:pt idx="28">
                  <c:v>53.69905013691916</c:v>
                </c:pt>
                <c:pt idx="29">
                  <c:v>55.69488879055638</c:v>
                </c:pt>
                <c:pt idx="30">
                  <c:v>57.70923718054167</c:v>
                </c:pt>
                <c:pt idx="31">
                  <c:v>59.74082300125755</c:v>
                </c:pt>
                <c:pt idx="32">
                  <c:v>61.78836305955587</c:v>
                </c:pt>
                <c:pt idx="33">
                  <c:v>63.85056408525011</c:v>
                </c:pt>
                <c:pt idx="34">
                  <c:v>65.92612354797238</c:v>
                </c:pt>
                <c:pt idx="35">
                  <c:v>68.01373047987983</c:v>
                </c:pt>
                <c:pt idx="36">
                  <c:v>70.11206630368967</c:v>
                </c:pt>
                <c:pt idx="37">
                  <c:v>72.21980566552112</c:v>
                </c:pt>
                <c:pt idx="38">
                  <c:v>74.33561727201727</c:v>
                </c:pt>
                <c:pt idx="39">
                  <c:v>76.45816473121837</c:v>
                </c:pt>
                <c:pt idx="40">
                  <c:v>78.58610739665583</c:v>
                </c:pt>
                <c:pt idx="41">
                  <c:v>80.71810121413308</c:v>
                </c:pt>
                <c:pt idx="42">
                  <c:v>82.85279957065913</c:v>
                </c:pt>
                <c:pt idx="43">
                  <c:v>84.98885414499815</c:v>
                </c:pt>
                <c:pt idx="44">
                  <c:v>87.12491575929811</c:v>
                </c:pt>
                <c:pt idx="45">
                  <c:v>89.25963523126031</c:v>
                </c:pt>
                <c:pt idx="46">
                  <c:v>91.39166422631197</c:v>
                </c:pt>
                <c:pt idx="47">
                  <c:v>93.5196561092432</c:v>
                </c:pt>
                <c:pt idx="48">
                  <c:v>95.64226679477064</c:v>
                </c:pt>
                <c:pt idx="49">
                  <c:v>97.75815559649054</c:v>
                </c:pt>
                <c:pt idx="50">
                  <c:v>99.86598607368506</c:v>
                </c:pt>
                <c:pt idx="51">
                  <c:v>101.9644268754468</c:v>
                </c:pt>
                <c:pt idx="52">
                  <c:v>104.0521525815886</c:v>
                </c:pt>
                <c:pt idx="53">
                  <c:v>106.1278445398076</c:v>
                </c:pt>
                <c:pt idx="54">
                  <c:v>108.1901916985736</c:v>
                </c:pt>
                <c:pt idx="55">
                  <c:v>110.2378914352182</c:v>
                </c:pt>
                <c:pt idx="56">
                  <c:v>112.2696503786984</c:v>
                </c:pt>
                <c:pt idx="57">
                  <c:v>114.2841852265182</c:v>
                </c:pt>
                <c:pt idx="58">
                  <c:v>116.2802235552892</c:v>
                </c:pt>
                <c:pt idx="59">
                  <c:v>118.2565046244211</c:v>
                </c:pt>
                <c:pt idx="60">
                  <c:v>120.2117801724323</c:v>
                </c:pt>
                <c:pt idx="61">
                  <c:v>122.1448152053784</c:v>
                </c:pt>
                <c:pt idx="62">
                  <c:v>124.0543887769011</c:v>
                </c:pt>
                <c:pt idx="63">
                  <c:v>125.939294759404</c:v>
                </c:pt>
                <c:pt idx="64">
                  <c:v>127.7983426058686</c:v>
                </c:pt>
                <c:pt idx="65">
                  <c:v>129.6303581018293</c:v>
                </c:pt>
                <c:pt idx="66">
                  <c:v>131.4341841070326</c:v>
                </c:pt>
                <c:pt idx="67">
                  <c:v>133.2086812863114</c:v>
                </c:pt>
                <c:pt idx="68">
                  <c:v>134.9527288292139</c:v>
                </c:pt>
                <c:pt idx="69">
                  <c:v>136.665225157931</c:v>
                </c:pt>
                <c:pt idx="70">
                  <c:v>138.3450886230769</c:v>
                </c:pt>
                <c:pt idx="71">
                  <c:v>139.9912581868818</c:v>
                </c:pt>
                <c:pt idx="72">
                  <c:v>141.6026940933663</c:v>
                </c:pt>
                <c:pt idx="73">
                  <c:v>143.1783785250732</c:v>
                </c:pt>
                <c:pt idx="74">
                  <c:v>144.7173162459432</c:v>
                </c:pt>
                <c:pt idx="75">
                  <c:v>146.2185352299272</c:v>
                </c:pt>
                <c:pt idx="76">
                  <c:v>147.6810872749385</c:v>
                </c:pt>
                <c:pt idx="77">
                  <c:v>149.1040486017583</c:v>
                </c:pt>
                <c:pt idx="78">
                  <c:v>150.4865204375134</c:v>
                </c:pt>
                <c:pt idx="79">
                  <c:v>151.8276295833614</c:v>
                </c:pt>
                <c:pt idx="80">
                  <c:v>153.1265289660212</c:v>
                </c:pt>
                <c:pt idx="81">
                  <c:v>154.382398172803</c:v>
                </c:pt>
                <c:pt idx="82">
                  <c:v>155.5944439697981</c:v>
                </c:pt>
                <c:pt idx="83">
                  <c:v>156.761900802903</c:v>
                </c:pt>
                <c:pt idx="84">
                  <c:v>157.8840312813591</c:v>
                </c:pt>
                <c:pt idx="85">
                  <c:v>158.9601266435054</c:v>
                </c:pt>
                <c:pt idx="86">
                  <c:v>159.9895072044466</c:v>
                </c:pt>
                <c:pt idx="87">
                  <c:v>160.9715227853574</c:v>
                </c:pt>
                <c:pt idx="88">
                  <c:v>161.905553124149</c:v>
                </c:pt>
                <c:pt idx="89">
                  <c:v>162.7910082672399</c:v>
                </c:pt>
                <c:pt idx="90">
                  <c:v>163.6273289421833</c:v>
                </c:pt>
                <c:pt idx="91">
                  <c:v>164.413986910916</c:v>
                </c:pt>
                <c:pt idx="92">
                  <c:v>165.150485303404</c:v>
                </c:pt>
                <c:pt idx="93">
                  <c:v>165.8363589314767</c:v>
                </c:pt>
                <c:pt idx="94">
                  <c:v>166.4711745826504</c:v>
                </c:pt>
                <c:pt idx="95">
                  <c:v>167.0545312937535</c:v>
                </c:pt>
                <c:pt idx="96">
                  <c:v>167.5860606041838</c:v>
                </c:pt>
                <c:pt idx="97">
                  <c:v>168.0654267886364</c:v>
                </c:pt>
                <c:pt idx="98">
                  <c:v>168.4923270691549</c:v>
                </c:pt>
                <c:pt idx="99">
                  <c:v>168.866491806372</c:v>
                </c:pt>
                <c:pt idx="100">
                  <c:v>169.18768466982</c:v>
                </c:pt>
                <c:pt idx="101">
                  <c:v>169.4557027872023</c:v>
                </c:pt>
                <c:pt idx="102">
                  <c:v>169.6703768725314</c:v>
                </c:pt>
                <c:pt idx="103">
                  <c:v>169.8315713330537</c:v>
                </c:pt>
                <c:pt idx="104">
                  <c:v>169.9391843548931</c:v>
                </c:pt>
                <c:pt idx="105">
                  <c:v>169.9931479673584</c:v>
                </c:pt>
                <c:pt idx="106">
                  <c:v>169.9934280858754</c:v>
                </c:pt>
                <c:pt idx="107">
                  <c:v>169.9400245335151</c:v>
                </c:pt>
                <c:pt idx="108">
                  <c:v>169.832971041106</c:v>
                </c:pt>
                <c:pt idx="109">
                  <c:v>169.6723352259283</c:v>
                </c:pt>
                <c:pt idx="110">
                  <c:v>169.458218549006</c:v>
                </c:pt>
                <c:pt idx="111">
                  <c:v>169.1907562510212</c:v>
                </c:pt>
                <c:pt idx="112">
                  <c:v>168.8701172668942</c:v>
                </c:pt>
                <c:pt idx="113">
                  <c:v>168.4965041190796</c:v>
                </c:pt>
                <c:pt idx="114">
                  <c:v>168.0701527896493</c:v>
                </c:pt>
                <c:pt idx="115">
                  <c:v>167.5913325712415</c:v>
                </c:pt>
                <c:pt idx="116">
                  <c:v>167.0603458969683</c:v>
                </c:pt>
                <c:pt idx="117">
                  <c:v>166.4775281493946</c:v>
                </c:pt>
                <c:pt idx="118">
                  <c:v>165.8432474487013</c:v>
                </c:pt>
                <c:pt idx="119">
                  <c:v>165.1579044201736</c:v>
                </c:pt>
                <c:pt idx="120">
                  <c:v>164.4219319411578</c:v>
                </c:pt>
                <c:pt idx="121">
                  <c:v>163.6357948676459</c:v>
                </c:pt>
                <c:pt idx="122">
                  <c:v>162.7999897406631</c:v>
                </c:pt>
                <c:pt idx="123">
                  <c:v>161.9150444726418</c:v>
                </c:pt>
                <c:pt idx="124">
                  <c:v>160.9815180139806</c:v>
                </c:pt>
                <c:pt idx="125">
                  <c:v>159.9999999999997</c:v>
                </c:pt>
                <c:pt idx="126">
                  <c:v>158.9711103785136</c:v>
                </c:pt>
                <c:pt idx="127">
                  <c:v>157.8954990182601</c:v>
                </c:pt>
                <c:pt idx="128">
                  <c:v>156.7738452984283</c:v>
                </c:pt>
                <c:pt idx="129">
                  <c:v>155.6068576795485</c:v>
                </c:pt>
                <c:pt idx="130">
                  <c:v>154.3952732560132</c:v>
                </c:pt>
                <c:pt idx="131">
                  <c:v>153.1398572905127</c:v>
                </c:pt>
                <c:pt idx="132">
                  <c:v>151.8414027306788</c:v>
                </c:pt>
                <c:pt idx="133">
                  <c:v>150.5007297082416</c:v>
                </c:pt>
                <c:pt idx="134">
                  <c:v>149.1186850210174</c:v>
                </c:pt>
                <c:pt idx="135">
                  <c:v>147.6961415980525</c:v>
                </c:pt>
                <c:pt idx="136">
                  <c:v>146.2339979482628</c:v>
                </c:pt>
                <c:pt idx="137">
                  <c:v>144.7331775929161</c:v>
                </c:pt>
                <c:pt idx="138">
                  <c:v>143.1946284823167</c:v>
                </c:pt>
                <c:pt idx="139">
                  <c:v>141.6193223970592</c:v>
                </c:pt>
                <c:pt idx="140">
                  <c:v>140.0082543342309</c:v>
                </c:pt>
                <c:pt idx="141">
                  <c:v>138.3624418789514</c:v>
                </c:pt>
                <c:pt idx="142">
                  <c:v>136.6829245616425</c:v>
                </c:pt>
                <c:pt idx="143">
                  <c:v>134.9707632014397</c:v>
                </c:pt>
                <c:pt idx="144">
                  <c:v>133.2270392361554</c:v>
                </c:pt>
                <c:pt idx="145">
                  <c:v>131.4528540392202</c:v>
                </c:pt>
                <c:pt idx="146">
                  <c:v>129.6493282240312</c:v>
                </c:pt>
                <c:pt idx="147">
                  <c:v>127.8176009361491</c:v>
                </c:pt>
                <c:pt idx="148">
                  <c:v>125.9588291337889</c:v>
                </c:pt>
                <c:pt idx="149">
                  <c:v>124.0741868570607</c:v>
                </c:pt>
                <c:pt idx="150">
                  <c:v>122.1648644864211</c:v>
                </c:pt>
                <c:pt idx="151">
                  <c:v>120.2320679908023</c:v>
                </c:pt>
                <c:pt idx="152">
                  <c:v>118.2770181658976</c:v>
                </c:pt>
                <c:pt idx="153">
                  <c:v>116.3009498630796</c:v>
                </c:pt>
                <c:pt idx="154">
                  <c:v>114.3051112094424</c:v>
                </c:pt>
                <c:pt idx="155">
                  <c:v>112.2907628194571</c:v>
                </c:pt>
                <c:pt idx="156">
                  <c:v>110.2591769987412</c:v>
                </c:pt>
                <c:pt idx="157">
                  <c:v>108.2116369404428</c:v>
                </c:pt>
                <c:pt idx="158">
                  <c:v>106.1494359147486</c:v>
                </c:pt>
                <c:pt idx="159">
                  <c:v>104.0738764520262</c:v>
                </c:pt>
                <c:pt idx="160">
                  <c:v>101.9862695201188</c:v>
                </c:pt>
                <c:pt idx="161">
                  <c:v>99.88793369630892</c:v>
                </c:pt>
                <c:pt idx="162">
                  <c:v>97.78019433447745</c:v>
                </c:pt>
                <c:pt idx="163">
                  <c:v>95.66438272798129</c:v>
                </c:pt>
                <c:pt idx="164">
                  <c:v>93.54183526878014</c:v>
                </c:pt>
                <c:pt idx="165">
                  <c:v>91.41389260334265</c:v>
                </c:pt>
                <c:pt idx="166">
                  <c:v>89.2818987858654</c:v>
                </c:pt>
                <c:pt idx="167">
                  <c:v>87.1472004293393</c:v>
                </c:pt>
                <c:pt idx="168">
                  <c:v>85.01114585500026</c:v>
                </c:pt>
                <c:pt idx="169">
                  <c:v>82.87508424070032</c:v>
                </c:pt>
                <c:pt idx="170">
                  <c:v>80.74036476873807</c:v>
                </c:pt>
                <c:pt idx="171">
                  <c:v>78.60833577368641</c:v>
                </c:pt>
                <c:pt idx="172">
                  <c:v>76.48034389075517</c:v>
                </c:pt>
                <c:pt idx="173">
                  <c:v>74.35773320522771</c:v>
                </c:pt>
                <c:pt idx="174">
                  <c:v>72.2418444035078</c:v>
                </c:pt>
                <c:pt idx="175">
                  <c:v>70.13401392631328</c:v>
                </c:pt>
                <c:pt idx="176">
                  <c:v>68.03557312455153</c:v>
                </c:pt>
                <c:pt idx="177">
                  <c:v>65.94784741840968</c:v>
                </c:pt>
                <c:pt idx="178">
                  <c:v>63.87215546019072</c:v>
                </c:pt>
                <c:pt idx="179">
                  <c:v>61.80980830142468</c:v>
                </c:pt>
                <c:pt idx="180">
                  <c:v>59.76210856478012</c:v>
                </c:pt>
                <c:pt idx="181">
                  <c:v>57.73034962129988</c:v>
                </c:pt>
                <c:pt idx="182">
                  <c:v>55.71581477348012</c:v>
                </c:pt>
                <c:pt idx="183">
                  <c:v>53.71977644470911</c:v>
                </c:pt>
                <c:pt idx="184">
                  <c:v>51.74349537557717</c:v>
                </c:pt>
                <c:pt idx="185">
                  <c:v>49.78821982756596</c:v>
                </c:pt>
                <c:pt idx="186">
                  <c:v>47.85518479461984</c:v>
                </c:pt>
                <c:pt idx="187">
                  <c:v>45.94561122309714</c:v>
                </c:pt>
                <c:pt idx="188">
                  <c:v>44.06070524059423</c:v>
                </c:pt>
                <c:pt idx="189">
                  <c:v>42.20165739412968</c:v>
                </c:pt>
                <c:pt idx="190">
                  <c:v>40.369641898169</c:v>
                </c:pt>
                <c:pt idx="191">
                  <c:v>38.56581589296573</c:v>
                </c:pt>
                <c:pt idx="192">
                  <c:v>36.79131871368692</c:v>
                </c:pt>
                <c:pt idx="193">
                  <c:v>35.0472711707845</c:v>
                </c:pt>
                <c:pt idx="194">
                  <c:v>33.33477484206741</c:v>
                </c:pt>
                <c:pt idx="195">
                  <c:v>31.65491137692154</c:v>
                </c:pt>
                <c:pt idx="196">
                  <c:v>30.00874181311661</c:v>
                </c:pt>
                <c:pt idx="197">
                  <c:v>28.39730590663216</c:v>
                </c:pt>
                <c:pt idx="198">
                  <c:v>26.82162147492527</c:v>
                </c:pt>
                <c:pt idx="199">
                  <c:v>25.28268375405526</c:v>
                </c:pt>
                <c:pt idx="200">
                  <c:v>23.78146477007134</c:v>
                </c:pt>
                <c:pt idx="201">
                  <c:v>22.31891272505998</c:v>
                </c:pt>
                <c:pt idx="202">
                  <c:v>20.89595139824031</c:v>
                </c:pt>
                <c:pt idx="203">
                  <c:v>19.51347956248522</c:v>
                </c:pt>
                <c:pt idx="204">
                  <c:v>18.17237041663725</c:v>
                </c:pt>
                <c:pt idx="205">
                  <c:v>16.87347103397746</c:v>
                </c:pt>
                <c:pt idx="206">
                  <c:v>15.61760182719575</c:v>
                </c:pt>
                <c:pt idx="207">
                  <c:v>14.40555603020069</c:v>
                </c:pt>
                <c:pt idx="208">
                  <c:v>13.23809919709589</c:v>
                </c:pt>
                <c:pt idx="209">
                  <c:v>12.11596871863976</c:v>
                </c:pt>
                <c:pt idx="210">
                  <c:v>11.03987335649352</c:v>
                </c:pt>
                <c:pt idx="211">
                  <c:v>10.01049279555231</c:v>
                </c:pt>
                <c:pt idx="212">
                  <c:v>9.02847721464153</c:v>
                </c:pt>
                <c:pt idx="213">
                  <c:v>8.094446875850023</c:v>
                </c:pt>
                <c:pt idx="214">
                  <c:v>7.208991732759218</c:v>
                </c:pt>
                <c:pt idx="215">
                  <c:v>6.372671057815799</c:v>
                </c:pt>
                <c:pt idx="216">
                  <c:v>5.58601308908326</c:v>
                </c:pt>
                <c:pt idx="217">
                  <c:v>4.849514696595406</c:v>
                </c:pt>
                <c:pt idx="218">
                  <c:v>4.163641068522599</c:v>
                </c:pt>
                <c:pt idx="219">
                  <c:v>3.528825417348933</c:v>
                </c:pt>
                <c:pt idx="220">
                  <c:v>2.945468706245944</c:v>
                </c:pt>
                <c:pt idx="221">
                  <c:v>2.413939395815686</c:v>
                </c:pt>
                <c:pt idx="222">
                  <c:v>1.934573211363106</c:v>
                </c:pt>
                <c:pt idx="223">
                  <c:v>1.50767293084475</c:v>
                </c:pt>
                <c:pt idx="224">
                  <c:v>1.133508193627721</c:v>
                </c:pt>
                <c:pt idx="225">
                  <c:v>0.812315330179665</c:v>
                </c:pt>
                <c:pt idx="226">
                  <c:v>0.544297212797392</c:v>
                </c:pt>
                <c:pt idx="227">
                  <c:v>0.32962312746838</c:v>
                </c:pt>
                <c:pt idx="228">
                  <c:v>0.168428666946118</c:v>
                </c:pt>
                <c:pt idx="229">
                  <c:v>0.0608156451068181</c:v>
                </c:pt>
                <c:pt idx="230">
                  <c:v>0.0068520326415863</c:v>
                </c:pt>
                <c:pt idx="231">
                  <c:v>0.00657191412467949</c:v>
                </c:pt>
                <c:pt idx="232">
                  <c:v>0.0599754664849568</c:v>
                </c:pt>
                <c:pt idx="233">
                  <c:v>0.167028958894128</c:v>
                </c:pt>
                <c:pt idx="234">
                  <c:v>0.327664774071867</c:v>
                </c:pt>
                <c:pt idx="235">
                  <c:v>0.541781450994335</c:v>
                </c:pt>
                <c:pt idx="236">
                  <c:v>0.809243748979141</c:v>
                </c:pt>
                <c:pt idx="237">
                  <c:v>1.12988273310625</c:v>
                </c:pt>
                <c:pt idx="238">
                  <c:v>1.503495880920905</c:v>
                </c:pt>
                <c:pt idx="239">
                  <c:v>1.929847210351145</c:v>
                </c:pt>
                <c:pt idx="240">
                  <c:v>2.408667428759144</c:v>
                </c:pt>
                <c:pt idx="241">
                  <c:v>2.939654103032209</c:v>
                </c:pt>
                <c:pt idx="242">
                  <c:v>3.522471850606022</c:v>
                </c:pt>
                <c:pt idx="243">
                  <c:v>4.156752551299446</c:v>
                </c:pt>
                <c:pt idx="244">
                  <c:v>4.842095579827134</c:v>
                </c:pt>
                <c:pt idx="245">
                  <c:v>5.578068058843033</c:v>
                </c:pt>
                <c:pt idx="246">
                  <c:v>6.364205132355007</c:v>
                </c:pt>
                <c:pt idx="247">
                  <c:v>7.200010259337835</c:v>
                </c:pt>
                <c:pt idx="248">
                  <c:v>8.08495552735917</c:v>
                </c:pt>
                <c:pt idx="249">
                  <c:v>9.018481986020344</c:v>
                </c:pt>
                <c:pt idx="250">
                  <c:v>10.00000000000142</c:v>
                </c:pt>
                <c:pt idx="251">
                  <c:v>11.02888962148749</c:v>
                </c:pt>
                <c:pt idx="252">
                  <c:v>12.10450098174103</c:v>
                </c:pt>
                <c:pt idx="253">
                  <c:v>13.22615470157291</c:v>
                </c:pt>
                <c:pt idx="254">
                  <c:v>14.3931423204528</c:v>
                </c:pt>
                <c:pt idx="255">
                  <c:v>15.60472674398812</c:v>
                </c:pt>
                <c:pt idx="256">
                  <c:v>16.8601427094886</c:v>
                </c:pt>
                <c:pt idx="257">
                  <c:v>18.15859726932258</c:v>
                </c:pt>
                <c:pt idx="258">
                  <c:v>19.49927029175977</c:v>
                </c:pt>
                <c:pt idx="259">
                  <c:v>20.88131497898404</c:v>
                </c:pt>
                <c:pt idx="260">
                  <c:v>22.30385840194901</c:v>
                </c:pt>
                <c:pt idx="261">
                  <c:v>23.7660020517388</c:v>
                </c:pt>
                <c:pt idx="262">
                  <c:v>25.26682240708547</c:v>
                </c:pt>
                <c:pt idx="263">
                  <c:v>26.80537151768492</c:v>
                </c:pt>
                <c:pt idx="264">
                  <c:v>28.38067760294257</c:v>
                </c:pt>
                <c:pt idx="265">
                  <c:v>29.99174566577076</c:v>
                </c:pt>
                <c:pt idx="266">
                  <c:v>31.63755812105038</c:v>
                </c:pt>
                <c:pt idx="267">
                  <c:v>33.31707543835932</c:v>
                </c:pt>
                <c:pt idx="268">
                  <c:v>35.02923679856218</c:v>
                </c:pt>
                <c:pt idx="269">
                  <c:v>36.77296076384643</c:v>
                </c:pt>
                <c:pt idx="270">
                  <c:v>38.54714596078167</c:v>
                </c:pt>
                <c:pt idx="271">
                  <c:v>40.35067177597065</c:v>
                </c:pt>
                <c:pt idx="272">
                  <c:v>42.1823990638529</c:v>
                </c:pt>
                <c:pt idx="273">
                  <c:v>44.04117086621314</c:v>
                </c:pt>
                <c:pt idx="274">
                  <c:v>45.92581314294126</c:v>
                </c:pt>
                <c:pt idx="275">
                  <c:v>47.83513551358098</c:v>
                </c:pt>
                <c:pt idx="276">
                  <c:v>49.76793200919974</c:v>
                </c:pt>
                <c:pt idx="277">
                  <c:v>51.72298183410447</c:v>
                </c:pt>
                <c:pt idx="278">
                  <c:v>53.69905013692245</c:v>
                </c:pt>
                <c:pt idx="279">
                  <c:v>55.69488879055973</c:v>
                </c:pt>
                <c:pt idx="280">
                  <c:v>57.70923718054504</c:v>
                </c:pt>
                <c:pt idx="281">
                  <c:v>59.74082300126099</c:v>
                </c:pt>
                <c:pt idx="282">
                  <c:v>61.78836305955937</c:v>
                </c:pt>
                <c:pt idx="283">
                  <c:v>63.85056408525361</c:v>
                </c:pt>
                <c:pt idx="284">
                  <c:v>65.92612354797593</c:v>
                </c:pt>
                <c:pt idx="285">
                  <c:v>68.01373047988341</c:v>
                </c:pt>
                <c:pt idx="286">
                  <c:v>70.1120663036933</c:v>
                </c:pt>
                <c:pt idx="287">
                  <c:v>72.21980566552478</c:v>
                </c:pt>
                <c:pt idx="288">
                  <c:v>74.33561727202098</c:v>
                </c:pt>
                <c:pt idx="289">
                  <c:v>76.45816473122212</c:v>
                </c:pt>
                <c:pt idx="290">
                  <c:v>78.58610739665957</c:v>
                </c:pt>
                <c:pt idx="291">
                  <c:v>80.71810121413685</c:v>
                </c:pt>
                <c:pt idx="292">
                  <c:v>82.85279957066292</c:v>
                </c:pt>
                <c:pt idx="293">
                  <c:v>84.98885414500197</c:v>
                </c:pt>
                <c:pt idx="294">
                  <c:v>87.12491575930193</c:v>
                </c:pt>
                <c:pt idx="295">
                  <c:v>89.25963523126414</c:v>
                </c:pt>
                <c:pt idx="296">
                  <c:v>91.39166422631583</c:v>
                </c:pt>
                <c:pt idx="297">
                  <c:v>93.51965610924708</c:v>
                </c:pt>
                <c:pt idx="298">
                  <c:v>95.64226679477451</c:v>
                </c:pt>
                <c:pt idx="299">
                  <c:v>97.75815559649443</c:v>
                </c:pt>
                <c:pt idx="300">
                  <c:v>99.86598607368893</c:v>
                </c:pt>
                <c:pt idx="301">
                  <c:v>101.9644268754507</c:v>
                </c:pt>
                <c:pt idx="302">
                  <c:v>104.0521525815925</c:v>
                </c:pt>
                <c:pt idx="303">
                  <c:v>106.1278445398115</c:v>
                </c:pt>
                <c:pt idx="304">
                  <c:v>108.1901916985775</c:v>
                </c:pt>
                <c:pt idx="305">
                  <c:v>110.237891435222</c:v>
                </c:pt>
                <c:pt idx="306">
                  <c:v>112.2696503787023</c:v>
                </c:pt>
                <c:pt idx="307">
                  <c:v>114.284185226522</c:v>
                </c:pt>
                <c:pt idx="308">
                  <c:v>116.280223555293</c:v>
                </c:pt>
                <c:pt idx="309">
                  <c:v>118.2565046244249</c:v>
                </c:pt>
                <c:pt idx="310">
                  <c:v>120.2117801724361</c:v>
                </c:pt>
                <c:pt idx="311">
                  <c:v>122.1448152053822</c:v>
                </c:pt>
                <c:pt idx="312">
                  <c:v>124.0543887769049</c:v>
                </c:pt>
                <c:pt idx="313">
                  <c:v>125.9392947594078</c:v>
                </c:pt>
                <c:pt idx="314">
                  <c:v>127.7983426058722</c:v>
                </c:pt>
                <c:pt idx="315">
                  <c:v>129.6303581018329</c:v>
                </c:pt>
                <c:pt idx="316">
                  <c:v>131.4341841070361</c:v>
                </c:pt>
                <c:pt idx="317">
                  <c:v>133.2086812863149</c:v>
                </c:pt>
                <c:pt idx="318">
                  <c:v>134.9527288292173</c:v>
                </c:pt>
                <c:pt idx="319">
                  <c:v>136.6652251579343</c:v>
                </c:pt>
                <c:pt idx="320">
                  <c:v>138.3450886230802</c:v>
                </c:pt>
                <c:pt idx="321">
                  <c:v>139.9912581868851</c:v>
                </c:pt>
                <c:pt idx="322">
                  <c:v>141.6026940933696</c:v>
                </c:pt>
                <c:pt idx="323">
                  <c:v>143.1783785250764</c:v>
                </c:pt>
                <c:pt idx="324">
                  <c:v>144.7173162459464</c:v>
                </c:pt>
                <c:pt idx="325">
                  <c:v>146.2185352299302</c:v>
                </c:pt>
                <c:pt idx="326">
                  <c:v>147.6810872749415</c:v>
                </c:pt>
                <c:pt idx="327">
                  <c:v>149.1040486017611</c:v>
                </c:pt>
                <c:pt idx="328">
                  <c:v>150.4865204375162</c:v>
                </c:pt>
                <c:pt idx="329">
                  <c:v>151.8276295833641</c:v>
                </c:pt>
                <c:pt idx="330">
                  <c:v>153.1265289660239</c:v>
                </c:pt>
                <c:pt idx="331">
                  <c:v>154.3823981728055</c:v>
                </c:pt>
                <c:pt idx="332">
                  <c:v>155.5944439698006</c:v>
                </c:pt>
                <c:pt idx="333">
                  <c:v>156.7619008029053</c:v>
                </c:pt>
                <c:pt idx="334">
                  <c:v>157.8840312813614</c:v>
                </c:pt>
                <c:pt idx="335">
                  <c:v>158.9601266435076</c:v>
                </c:pt>
                <c:pt idx="336">
                  <c:v>159.9895072044488</c:v>
                </c:pt>
                <c:pt idx="337">
                  <c:v>160.9715227853595</c:v>
                </c:pt>
                <c:pt idx="338">
                  <c:v>161.905553124151</c:v>
                </c:pt>
                <c:pt idx="339">
                  <c:v>162.7910082672417</c:v>
                </c:pt>
                <c:pt idx="340">
                  <c:v>163.6273289421851</c:v>
                </c:pt>
                <c:pt idx="341">
                  <c:v>164.4139869109176</c:v>
                </c:pt>
                <c:pt idx="342">
                  <c:v>165.1504853034053</c:v>
                </c:pt>
                <c:pt idx="343">
                  <c:v>165.8363589314781</c:v>
                </c:pt>
                <c:pt idx="344">
                  <c:v>166.4711745826517</c:v>
                </c:pt>
                <c:pt idx="345">
                  <c:v>167.0545312937547</c:v>
                </c:pt>
                <c:pt idx="346">
                  <c:v>167.5860606041849</c:v>
                </c:pt>
                <c:pt idx="347">
                  <c:v>168.0654267886374</c:v>
                </c:pt>
                <c:pt idx="348">
                  <c:v>168.4923270691556</c:v>
                </c:pt>
                <c:pt idx="349">
                  <c:v>168.8664918063726</c:v>
                </c:pt>
                <c:pt idx="350">
                  <c:v>169.1876846698207</c:v>
                </c:pt>
                <c:pt idx="351">
                  <c:v>169.4557027872028</c:v>
                </c:pt>
                <c:pt idx="352">
                  <c:v>169.6703768725318</c:v>
                </c:pt>
                <c:pt idx="353">
                  <c:v>169.8315713330541</c:v>
                </c:pt>
                <c:pt idx="354">
                  <c:v>169.9391843548932</c:v>
                </c:pt>
                <c:pt idx="355">
                  <c:v>169.9931479673585</c:v>
                </c:pt>
                <c:pt idx="356">
                  <c:v>169.9934280858753</c:v>
                </c:pt>
                <c:pt idx="357">
                  <c:v>169.940024533515</c:v>
                </c:pt>
                <c:pt idx="358">
                  <c:v>169.8329710411057</c:v>
                </c:pt>
                <c:pt idx="359">
                  <c:v>169.6723352259279</c:v>
                </c:pt>
                <c:pt idx="360">
                  <c:v>169.4582185490054</c:v>
                </c:pt>
                <c:pt idx="361">
                  <c:v>169.1907562510206</c:v>
                </c:pt>
                <c:pt idx="362">
                  <c:v>168.8701172668934</c:v>
                </c:pt>
                <c:pt idx="363">
                  <c:v>168.4965041190787</c:v>
                </c:pt>
                <c:pt idx="364">
                  <c:v>168.0701527896484</c:v>
                </c:pt>
                <c:pt idx="365">
                  <c:v>167.5913325712403</c:v>
                </c:pt>
                <c:pt idx="366">
                  <c:v>167.0603458969672</c:v>
                </c:pt>
                <c:pt idx="367">
                  <c:v>166.4775281493934</c:v>
                </c:pt>
                <c:pt idx="368">
                  <c:v>165.8432474486999</c:v>
                </c:pt>
                <c:pt idx="369">
                  <c:v>165.1579044201721</c:v>
                </c:pt>
                <c:pt idx="370">
                  <c:v>164.4219319411561</c:v>
                </c:pt>
                <c:pt idx="371">
                  <c:v>163.6357948676442</c:v>
                </c:pt>
                <c:pt idx="372">
                  <c:v>162.7999897406613</c:v>
                </c:pt>
                <c:pt idx="373">
                  <c:v>161.9150444726399</c:v>
                </c:pt>
                <c:pt idx="374">
                  <c:v>160.9815180139786</c:v>
                </c:pt>
                <c:pt idx="375">
                  <c:v>159.9999999999975</c:v>
                </c:pt>
                <c:pt idx="376">
                  <c:v>158.9711103785114</c:v>
                </c:pt>
                <c:pt idx="377">
                  <c:v>157.8954990182578</c:v>
                </c:pt>
                <c:pt idx="378">
                  <c:v>156.7738452984259</c:v>
                </c:pt>
                <c:pt idx="379">
                  <c:v>155.6068576795459</c:v>
                </c:pt>
                <c:pt idx="380">
                  <c:v>154.3952732560106</c:v>
                </c:pt>
                <c:pt idx="381">
                  <c:v>153.1398572905101</c:v>
                </c:pt>
                <c:pt idx="382">
                  <c:v>151.841402730676</c:v>
                </c:pt>
                <c:pt idx="383">
                  <c:v>150.5007297082388</c:v>
                </c:pt>
                <c:pt idx="384">
                  <c:v>149.1186850210145</c:v>
                </c:pt>
                <c:pt idx="385">
                  <c:v>147.6961415980495</c:v>
                </c:pt>
                <c:pt idx="386">
                  <c:v>146.2339979482597</c:v>
                </c:pt>
                <c:pt idx="387">
                  <c:v>144.7331775929129</c:v>
                </c:pt>
                <c:pt idx="388">
                  <c:v>143.1946284823134</c:v>
                </c:pt>
                <c:pt idx="389">
                  <c:v>141.6193223970558</c:v>
                </c:pt>
                <c:pt idx="390">
                  <c:v>140.0082543342275</c:v>
                </c:pt>
                <c:pt idx="391">
                  <c:v>138.3624418789478</c:v>
                </c:pt>
                <c:pt idx="392">
                  <c:v>136.6829245616389</c:v>
                </c:pt>
                <c:pt idx="393">
                  <c:v>134.970763201436</c:v>
                </c:pt>
                <c:pt idx="394">
                  <c:v>133.2270392361517</c:v>
                </c:pt>
                <c:pt idx="395">
                  <c:v>131.4528540392164</c:v>
                </c:pt>
                <c:pt idx="396">
                  <c:v>129.6493282240274</c:v>
                </c:pt>
                <c:pt idx="397">
                  <c:v>127.8176009361452</c:v>
                </c:pt>
                <c:pt idx="398">
                  <c:v>125.9588291337849</c:v>
                </c:pt>
                <c:pt idx="399">
                  <c:v>124.0741868570568</c:v>
                </c:pt>
                <c:pt idx="400">
                  <c:v>122.164864486417</c:v>
                </c:pt>
                <c:pt idx="401">
                  <c:v>120.2320679907982</c:v>
                </c:pt>
                <c:pt idx="402">
                  <c:v>118.2770181658934</c:v>
                </c:pt>
                <c:pt idx="403">
                  <c:v>116.3009498630754</c:v>
                </c:pt>
                <c:pt idx="404">
                  <c:v>114.3051112094382</c:v>
                </c:pt>
                <c:pt idx="405">
                  <c:v>112.2907628194528</c:v>
                </c:pt>
                <c:pt idx="406">
                  <c:v>110.2591769987369</c:v>
                </c:pt>
                <c:pt idx="407">
                  <c:v>108.2116369404385</c:v>
                </c:pt>
                <c:pt idx="408">
                  <c:v>106.1494359147442</c:v>
                </c:pt>
                <c:pt idx="409">
                  <c:v>104.0738764520219</c:v>
                </c:pt>
                <c:pt idx="410">
                  <c:v>101.9862695201144</c:v>
                </c:pt>
                <c:pt idx="411">
                  <c:v>99.88793369630451</c:v>
                </c:pt>
                <c:pt idx="412">
                  <c:v>97.78019433447299</c:v>
                </c:pt>
                <c:pt idx="413">
                  <c:v>95.66438272797681</c:v>
                </c:pt>
                <c:pt idx="414">
                  <c:v>93.54183526877565</c:v>
                </c:pt>
                <c:pt idx="415">
                  <c:v>91.41389260333815</c:v>
                </c:pt>
                <c:pt idx="416">
                  <c:v>89.28189878586088</c:v>
                </c:pt>
                <c:pt idx="417">
                  <c:v>87.1472004293348</c:v>
                </c:pt>
                <c:pt idx="418">
                  <c:v>85.01114585499577</c:v>
                </c:pt>
                <c:pt idx="419">
                  <c:v>82.87508424069583</c:v>
                </c:pt>
                <c:pt idx="420">
                  <c:v>80.74036476873358</c:v>
                </c:pt>
                <c:pt idx="421">
                  <c:v>78.60833577368192</c:v>
                </c:pt>
                <c:pt idx="422">
                  <c:v>76.48034389075067</c:v>
                </c:pt>
                <c:pt idx="423">
                  <c:v>74.35773320522324</c:v>
                </c:pt>
                <c:pt idx="424">
                  <c:v>72.24184440350333</c:v>
                </c:pt>
                <c:pt idx="425">
                  <c:v>70.13401392630885</c:v>
                </c:pt>
                <c:pt idx="426">
                  <c:v>68.03557312454711</c:v>
                </c:pt>
                <c:pt idx="427">
                  <c:v>65.94784741840527</c:v>
                </c:pt>
                <c:pt idx="428">
                  <c:v>63.87215546018637</c:v>
                </c:pt>
                <c:pt idx="429">
                  <c:v>61.80980830142034</c:v>
                </c:pt>
                <c:pt idx="430">
                  <c:v>59.76210856477582</c:v>
                </c:pt>
                <c:pt idx="431">
                  <c:v>57.73034962129561</c:v>
                </c:pt>
                <c:pt idx="432">
                  <c:v>55.71581477347588</c:v>
                </c:pt>
                <c:pt idx="433">
                  <c:v>53.71977644470493</c:v>
                </c:pt>
                <c:pt idx="434">
                  <c:v>51.74349537557303</c:v>
                </c:pt>
                <c:pt idx="435">
                  <c:v>49.78821982756187</c:v>
                </c:pt>
                <c:pt idx="436">
                  <c:v>47.85518479461579</c:v>
                </c:pt>
                <c:pt idx="437">
                  <c:v>45.94561122309312</c:v>
                </c:pt>
                <c:pt idx="438">
                  <c:v>44.0607052405903</c:v>
                </c:pt>
                <c:pt idx="439">
                  <c:v>42.2016573941258</c:v>
                </c:pt>
                <c:pt idx="440">
                  <c:v>40.36964189816516</c:v>
                </c:pt>
                <c:pt idx="441">
                  <c:v>38.56581589296196</c:v>
                </c:pt>
                <c:pt idx="442">
                  <c:v>36.79131871368321</c:v>
                </c:pt>
                <c:pt idx="443">
                  <c:v>35.04727117078085</c:v>
                </c:pt>
                <c:pt idx="444">
                  <c:v>33.33477484206384</c:v>
                </c:pt>
                <c:pt idx="445">
                  <c:v>31.65491137691803</c:v>
                </c:pt>
                <c:pt idx="446">
                  <c:v>30.00874181311317</c:v>
                </c:pt>
                <c:pt idx="447">
                  <c:v>28.3973059066288</c:v>
                </c:pt>
                <c:pt idx="448">
                  <c:v>26.82162147492198</c:v>
                </c:pt>
                <c:pt idx="449">
                  <c:v>25.28268375405206</c:v>
                </c:pt>
                <c:pt idx="450">
                  <c:v>23.78146477006821</c:v>
                </c:pt>
                <c:pt idx="451">
                  <c:v>22.31891272505694</c:v>
                </c:pt>
                <c:pt idx="452">
                  <c:v>20.89595139823735</c:v>
                </c:pt>
                <c:pt idx="453">
                  <c:v>19.51347956248234</c:v>
                </c:pt>
                <c:pt idx="454">
                  <c:v>18.17237041663446</c:v>
                </c:pt>
                <c:pt idx="455">
                  <c:v>16.87347103397476</c:v>
                </c:pt>
                <c:pt idx="456">
                  <c:v>15.61760182719314</c:v>
                </c:pt>
                <c:pt idx="457">
                  <c:v>14.40555603019817</c:v>
                </c:pt>
                <c:pt idx="458">
                  <c:v>13.23809919709348</c:v>
                </c:pt>
                <c:pt idx="459">
                  <c:v>12.11596871863744</c:v>
                </c:pt>
                <c:pt idx="460">
                  <c:v>11.0398733564913</c:v>
                </c:pt>
                <c:pt idx="461">
                  <c:v>10.01049279555019</c:v>
                </c:pt>
                <c:pt idx="462">
                  <c:v>9.028477214639507</c:v>
                </c:pt>
                <c:pt idx="463">
                  <c:v>8.0944468758481</c:v>
                </c:pt>
                <c:pt idx="464">
                  <c:v>7.208991732757401</c:v>
                </c:pt>
                <c:pt idx="465">
                  <c:v>6.372671057814084</c:v>
                </c:pt>
                <c:pt idx="466">
                  <c:v>5.586013089081652</c:v>
                </c:pt>
                <c:pt idx="467">
                  <c:v>4.849514696593906</c:v>
                </c:pt>
                <c:pt idx="468">
                  <c:v>4.163641068521206</c:v>
                </c:pt>
                <c:pt idx="469">
                  <c:v>3.528825417347647</c:v>
                </c:pt>
                <c:pt idx="470">
                  <c:v>2.945468706244768</c:v>
                </c:pt>
                <c:pt idx="471">
                  <c:v>2.413939395814619</c:v>
                </c:pt>
                <c:pt idx="472">
                  <c:v>1.934573211362149</c:v>
                </c:pt>
                <c:pt idx="473">
                  <c:v>1.507672930843905</c:v>
                </c:pt>
                <c:pt idx="474">
                  <c:v>1.133508193626987</c:v>
                </c:pt>
                <c:pt idx="475">
                  <c:v>0.812315330179043</c:v>
                </c:pt>
                <c:pt idx="476">
                  <c:v>0.544297212796882</c:v>
                </c:pt>
                <c:pt idx="477">
                  <c:v>0.329623127467983</c:v>
                </c:pt>
                <c:pt idx="478">
                  <c:v>0.168428666945834</c:v>
                </c:pt>
                <c:pt idx="479">
                  <c:v>0.0608156451066476</c:v>
                </c:pt>
                <c:pt idx="480">
                  <c:v>0.00685203264152905</c:v>
                </c:pt>
                <c:pt idx="481">
                  <c:v>0.00657191412473556</c:v>
                </c:pt>
                <c:pt idx="482">
                  <c:v>0.0599754664851262</c:v>
                </c:pt>
                <c:pt idx="483">
                  <c:v>0.16702895889441</c:v>
                </c:pt>
                <c:pt idx="484">
                  <c:v>0.327664774072262</c:v>
                </c:pt>
                <c:pt idx="485">
                  <c:v>0.541781450994844</c:v>
                </c:pt>
                <c:pt idx="486">
                  <c:v>0.809243748979762</c:v>
                </c:pt>
                <c:pt idx="487">
                  <c:v>1.129882733106983</c:v>
                </c:pt>
                <c:pt idx="488">
                  <c:v>1.503495880921749</c:v>
                </c:pt>
                <c:pt idx="489">
                  <c:v>1.9298472103521</c:v>
                </c:pt>
                <c:pt idx="490">
                  <c:v>2.408667428760209</c:v>
                </c:pt>
                <c:pt idx="491">
                  <c:v>2.939654103033384</c:v>
                </c:pt>
                <c:pt idx="492">
                  <c:v>3.522471850607306</c:v>
                </c:pt>
                <c:pt idx="493">
                  <c:v>4.156752551300839</c:v>
                </c:pt>
                <c:pt idx="494">
                  <c:v>4.842095579828633</c:v>
                </c:pt>
                <c:pt idx="495">
                  <c:v>5.57806805884464</c:v>
                </c:pt>
                <c:pt idx="496">
                  <c:v>6.36420513235672</c:v>
                </c:pt>
                <c:pt idx="497">
                  <c:v>7.200010259339652</c:v>
                </c:pt>
                <c:pt idx="498">
                  <c:v>8.084955527361092</c:v>
                </c:pt>
                <c:pt idx="499">
                  <c:v>9.018481986022365</c:v>
                </c:pt>
                <c:pt idx="500">
                  <c:v>10.00000000000354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'Analytical Steps'!$F$1</c:f>
              <c:strCache>
                <c:ptCount val="1"/>
                <c:pt idx="0">
                  <c:v>Total Energy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Steps'!$F$2:$F$502</c:f>
              <c:numCache>
                <c:formatCode>General</c:formatCode>
                <c:ptCount val="501"/>
                <c:pt idx="0">
                  <c:v>170.0</c:v>
                </c:pt>
                <c:pt idx="1">
                  <c:v>170.0</c:v>
                </c:pt>
                <c:pt idx="2">
                  <c:v>170.0</c:v>
                </c:pt>
                <c:pt idx="3">
                  <c:v>170.0</c:v>
                </c:pt>
                <c:pt idx="4">
                  <c:v>170.0</c:v>
                </c:pt>
                <c:pt idx="5">
                  <c:v>170.0</c:v>
                </c:pt>
                <c:pt idx="6">
                  <c:v>170.0</c:v>
                </c:pt>
                <c:pt idx="7">
                  <c:v>170.0</c:v>
                </c:pt>
                <c:pt idx="8">
                  <c:v>170.0</c:v>
                </c:pt>
                <c:pt idx="9">
                  <c:v>170.0</c:v>
                </c:pt>
                <c:pt idx="10">
                  <c:v>170.0</c:v>
                </c:pt>
                <c:pt idx="11">
                  <c:v>170.0</c:v>
                </c:pt>
                <c:pt idx="12">
                  <c:v>170.0</c:v>
                </c:pt>
                <c:pt idx="13">
                  <c:v>170.0</c:v>
                </c:pt>
                <c:pt idx="14">
                  <c:v>170.0</c:v>
                </c:pt>
                <c:pt idx="15">
                  <c:v>170.0</c:v>
                </c:pt>
                <c:pt idx="16">
                  <c:v>170.0</c:v>
                </c:pt>
                <c:pt idx="17">
                  <c:v>170.0</c:v>
                </c:pt>
                <c:pt idx="18">
                  <c:v>170.0</c:v>
                </c:pt>
                <c:pt idx="19">
                  <c:v>170.0</c:v>
                </c:pt>
                <c:pt idx="20">
                  <c:v>170.0</c:v>
                </c:pt>
                <c:pt idx="21">
                  <c:v>170.0</c:v>
                </c:pt>
                <c:pt idx="22">
                  <c:v>170.0</c:v>
                </c:pt>
                <c:pt idx="23">
                  <c:v>170.0000000000001</c:v>
                </c:pt>
                <c:pt idx="24">
                  <c:v>17</c:v>
                </c:pt>
                <c:pt idx="25">
                  <c:v>170.0</c:v>
                </c:pt>
                <c:pt idx="26">
                  <c:v>170.0</c:v>
                </c:pt>
                <c:pt idx="27">
                  <c:v>170.0</c:v>
                </c:pt>
                <c:pt idx="28">
                  <c:v>170.0</c:v>
                </c:pt>
                <c:pt idx="29">
                  <c:v>170.0</c:v>
                </c:pt>
                <c:pt idx="30">
                  <c:v>170.0</c:v>
                </c:pt>
                <c:pt idx="31">
                  <c:v>170.0</c:v>
                </c:pt>
                <c:pt idx="32">
                  <c:v>170.0</c:v>
                </c:pt>
                <c:pt idx="33">
                  <c:v>170.0</c:v>
                </c:pt>
                <c:pt idx="34">
                  <c:v>17</c:v>
                </c:pt>
                <c:pt idx="35">
                  <c:v>170.0</c:v>
                </c:pt>
                <c:pt idx="36">
                  <c:v>170.0</c:v>
                </c:pt>
                <c:pt idx="37">
                  <c:v>170.0</c:v>
                </c:pt>
                <c:pt idx="38">
                  <c:v>170.0</c:v>
                </c:pt>
                <c:pt idx="39">
                  <c:v>170.0</c:v>
                </c:pt>
                <c:pt idx="40">
                  <c:v>170.0</c:v>
                </c:pt>
                <c:pt idx="41">
                  <c:v>170.0</c:v>
                </c:pt>
                <c:pt idx="42">
                  <c:v>170.0</c:v>
                </c:pt>
                <c:pt idx="43">
                  <c:v>170.0</c:v>
                </c:pt>
                <c:pt idx="44">
                  <c:v>170.0</c:v>
                </c:pt>
                <c:pt idx="45">
                  <c:v>170.0</c:v>
                </c:pt>
                <c:pt idx="46">
                  <c:v>170.0</c:v>
                </c:pt>
                <c:pt idx="47">
                  <c:v>170.0</c:v>
                </c:pt>
                <c:pt idx="48">
                  <c:v>170.0</c:v>
                </c:pt>
                <c:pt idx="49">
                  <c:v>170.0</c:v>
                </c:pt>
                <c:pt idx="50">
                  <c:v>170.0</c:v>
                </c:pt>
                <c:pt idx="51">
                  <c:v>170.0</c:v>
                </c:pt>
                <c:pt idx="52">
                  <c:v>170.0</c:v>
                </c:pt>
                <c:pt idx="53">
                  <c:v>170.0</c:v>
                </c:pt>
                <c:pt idx="54">
                  <c:v>170.0</c:v>
                </c:pt>
                <c:pt idx="55">
                  <c:v>170.0</c:v>
                </c:pt>
                <c:pt idx="56">
                  <c:v>170.0</c:v>
                </c:pt>
                <c:pt idx="57">
                  <c:v>170.0</c:v>
                </c:pt>
                <c:pt idx="58">
                  <c:v>17</c:v>
                </c:pt>
                <c:pt idx="59">
                  <c:v>170.0</c:v>
                </c:pt>
                <c:pt idx="60">
                  <c:v>170.0</c:v>
                </c:pt>
                <c:pt idx="61">
                  <c:v>170.0</c:v>
                </c:pt>
                <c:pt idx="62">
                  <c:v>170.0</c:v>
                </c:pt>
                <c:pt idx="63">
                  <c:v>17</c:v>
                </c:pt>
                <c:pt idx="64">
                  <c:v>170.0</c:v>
                </c:pt>
                <c:pt idx="65">
                  <c:v>170.0</c:v>
                </c:pt>
                <c:pt idx="66">
                  <c:v>170.0</c:v>
                </c:pt>
                <c:pt idx="67">
                  <c:v>170.0</c:v>
                </c:pt>
                <c:pt idx="68">
                  <c:v>170.0</c:v>
                </c:pt>
                <c:pt idx="69">
                  <c:v>170.0</c:v>
                </c:pt>
                <c:pt idx="70">
                  <c:v>170.0</c:v>
                </c:pt>
                <c:pt idx="71">
                  <c:v>170.0000000000001</c:v>
                </c:pt>
                <c:pt idx="72">
                  <c:v>170.0</c:v>
                </c:pt>
                <c:pt idx="73">
                  <c:v>170.0</c:v>
                </c:pt>
                <c:pt idx="74">
                  <c:v>170.0</c:v>
                </c:pt>
                <c:pt idx="75">
                  <c:v>170.0</c:v>
                </c:pt>
                <c:pt idx="76">
                  <c:v>170.0</c:v>
                </c:pt>
                <c:pt idx="77">
                  <c:v>170.0</c:v>
                </c:pt>
                <c:pt idx="78">
                  <c:v>170.0</c:v>
                </c:pt>
                <c:pt idx="79">
                  <c:v>170.0</c:v>
                </c:pt>
                <c:pt idx="80">
                  <c:v>170.0</c:v>
                </c:pt>
                <c:pt idx="81">
                  <c:v>170.0</c:v>
                </c:pt>
                <c:pt idx="82">
                  <c:v>170.0</c:v>
                </c:pt>
                <c:pt idx="83">
                  <c:v>170.0</c:v>
                </c:pt>
                <c:pt idx="84">
                  <c:v>17</c:v>
                </c:pt>
                <c:pt idx="85">
                  <c:v>170.0</c:v>
                </c:pt>
                <c:pt idx="86">
                  <c:v>170.0</c:v>
                </c:pt>
                <c:pt idx="87">
                  <c:v>17</c:v>
                </c:pt>
                <c:pt idx="88">
                  <c:v>170.0</c:v>
                </c:pt>
                <c:pt idx="89">
                  <c:v>170.0</c:v>
                </c:pt>
                <c:pt idx="90">
                  <c:v>170.0</c:v>
                </c:pt>
                <c:pt idx="91">
                  <c:v>170.0</c:v>
                </c:pt>
                <c:pt idx="92">
                  <c:v>170.0000000000001</c:v>
                </c:pt>
                <c:pt idx="93">
                  <c:v>170.0</c:v>
                </c:pt>
                <c:pt idx="94">
                  <c:v>17</c:v>
                </c:pt>
                <c:pt idx="95">
                  <c:v>170.0</c:v>
                </c:pt>
                <c:pt idx="96">
                  <c:v>170.0</c:v>
                </c:pt>
                <c:pt idx="97">
                  <c:v>170.0</c:v>
                </c:pt>
                <c:pt idx="98">
                  <c:v>170.0</c:v>
                </c:pt>
                <c:pt idx="99">
                  <c:v>170.0</c:v>
                </c:pt>
                <c:pt idx="100">
                  <c:v>170.0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170.0</c:v>
                </c:pt>
                <c:pt idx="105">
                  <c:v>17</c:v>
                </c:pt>
                <c:pt idx="106">
                  <c:v>170.0000000000001</c:v>
                </c:pt>
                <c:pt idx="107">
                  <c:v>170.0</c:v>
                </c:pt>
                <c:pt idx="108">
                  <c:v>170.0</c:v>
                </c:pt>
                <c:pt idx="109">
                  <c:v>17</c:v>
                </c:pt>
                <c:pt idx="110">
                  <c:v>170.0000000000001</c:v>
                </c:pt>
                <c:pt idx="111">
                  <c:v>170.0</c:v>
                </c:pt>
                <c:pt idx="112">
                  <c:v>170.0000000000001</c:v>
                </c:pt>
                <c:pt idx="113">
                  <c:v>170.0000000000001</c:v>
                </c:pt>
                <c:pt idx="114">
                  <c:v>170.0</c:v>
                </c:pt>
                <c:pt idx="115">
                  <c:v>170.0000000000001</c:v>
                </c:pt>
                <c:pt idx="116">
                  <c:v>169.9999999999999</c:v>
                </c:pt>
                <c:pt idx="117">
                  <c:v>170.0</c:v>
                </c:pt>
                <c:pt idx="118">
                  <c:v>170.0</c:v>
                </c:pt>
                <c:pt idx="119">
                  <c:v>17</c:v>
                </c:pt>
                <c:pt idx="120">
                  <c:v>170.0000000000001</c:v>
                </c:pt>
                <c:pt idx="121">
                  <c:v>170.0</c:v>
                </c:pt>
                <c:pt idx="122">
                  <c:v>17</c:v>
                </c:pt>
                <c:pt idx="123">
                  <c:v>170.0</c:v>
                </c:pt>
                <c:pt idx="124">
                  <c:v>17</c:v>
                </c:pt>
                <c:pt idx="125">
                  <c:v>170.0</c:v>
                </c:pt>
                <c:pt idx="126">
                  <c:v>17</c:v>
                </c:pt>
                <c:pt idx="127">
                  <c:v>170.0</c:v>
                </c:pt>
                <c:pt idx="128">
                  <c:v>17</c:v>
                </c:pt>
                <c:pt idx="129">
                  <c:v>170.0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170.0</c:v>
                </c:pt>
                <c:pt idx="135">
                  <c:v>170.0</c:v>
                </c:pt>
                <c:pt idx="136">
                  <c:v>170.0</c:v>
                </c:pt>
                <c:pt idx="137">
                  <c:v>170.0</c:v>
                </c:pt>
                <c:pt idx="138">
                  <c:v>170.0</c:v>
                </c:pt>
                <c:pt idx="139">
                  <c:v>170.0000000000001</c:v>
                </c:pt>
                <c:pt idx="140">
                  <c:v>17</c:v>
                </c:pt>
                <c:pt idx="141">
                  <c:v>170.0</c:v>
                </c:pt>
                <c:pt idx="142">
                  <c:v>170.0</c:v>
                </c:pt>
                <c:pt idx="143">
                  <c:v>170.0</c:v>
                </c:pt>
                <c:pt idx="144">
                  <c:v>170.0</c:v>
                </c:pt>
                <c:pt idx="145">
                  <c:v>170.0</c:v>
                </c:pt>
                <c:pt idx="146">
                  <c:v>17</c:v>
                </c:pt>
                <c:pt idx="147">
                  <c:v>170.0</c:v>
                </c:pt>
                <c:pt idx="148">
                  <c:v>170.0</c:v>
                </c:pt>
                <c:pt idx="149">
                  <c:v>17</c:v>
                </c:pt>
                <c:pt idx="150">
                  <c:v>170.0</c:v>
                </c:pt>
                <c:pt idx="151">
                  <c:v>170.0</c:v>
                </c:pt>
                <c:pt idx="152">
                  <c:v>170.0</c:v>
                </c:pt>
                <c:pt idx="153">
                  <c:v>170.0</c:v>
                </c:pt>
                <c:pt idx="154">
                  <c:v>170.0</c:v>
                </c:pt>
                <c:pt idx="155">
                  <c:v>170.0</c:v>
                </c:pt>
                <c:pt idx="156">
                  <c:v>170.0</c:v>
                </c:pt>
                <c:pt idx="157">
                  <c:v>170.0</c:v>
                </c:pt>
                <c:pt idx="158">
                  <c:v>170.0</c:v>
                </c:pt>
                <c:pt idx="159">
                  <c:v>170.0</c:v>
                </c:pt>
                <c:pt idx="160">
                  <c:v>170.0</c:v>
                </c:pt>
                <c:pt idx="161">
                  <c:v>170.0</c:v>
                </c:pt>
                <c:pt idx="162">
                  <c:v>170.0</c:v>
                </c:pt>
                <c:pt idx="163">
                  <c:v>170.0</c:v>
                </c:pt>
                <c:pt idx="164">
                  <c:v>170.0</c:v>
                </c:pt>
                <c:pt idx="165">
                  <c:v>170.0</c:v>
                </c:pt>
                <c:pt idx="166">
                  <c:v>17</c:v>
                </c:pt>
                <c:pt idx="167">
                  <c:v>170.0</c:v>
                </c:pt>
                <c:pt idx="168">
                  <c:v>170.0</c:v>
                </c:pt>
                <c:pt idx="169">
                  <c:v>170.0</c:v>
                </c:pt>
                <c:pt idx="170">
                  <c:v>169.9999999999999</c:v>
                </c:pt>
                <c:pt idx="171">
                  <c:v>170.0</c:v>
                </c:pt>
                <c:pt idx="172">
                  <c:v>170.0</c:v>
                </c:pt>
                <c:pt idx="173">
                  <c:v>170.0</c:v>
                </c:pt>
                <c:pt idx="174">
                  <c:v>170.0</c:v>
                </c:pt>
                <c:pt idx="175">
                  <c:v>170.0000000000001</c:v>
                </c:pt>
                <c:pt idx="176">
                  <c:v>170.0</c:v>
                </c:pt>
                <c:pt idx="177">
                  <c:v>170.0</c:v>
                </c:pt>
                <c:pt idx="178">
                  <c:v>170.0</c:v>
                </c:pt>
                <c:pt idx="179">
                  <c:v>170.0</c:v>
                </c:pt>
                <c:pt idx="180">
                  <c:v>170.0</c:v>
                </c:pt>
                <c:pt idx="181">
                  <c:v>170.0</c:v>
                </c:pt>
                <c:pt idx="182">
                  <c:v>169.9999999999999</c:v>
                </c:pt>
                <c:pt idx="183">
                  <c:v>170.0</c:v>
                </c:pt>
                <c:pt idx="184">
                  <c:v>170.0</c:v>
                </c:pt>
                <c:pt idx="185">
                  <c:v>17</c:v>
                </c:pt>
                <c:pt idx="186">
                  <c:v>170.0</c:v>
                </c:pt>
                <c:pt idx="187">
                  <c:v>170.0</c:v>
                </c:pt>
                <c:pt idx="188">
                  <c:v>170.0</c:v>
                </c:pt>
                <c:pt idx="189">
                  <c:v>170.0</c:v>
                </c:pt>
                <c:pt idx="190">
                  <c:v>170.0</c:v>
                </c:pt>
                <c:pt idx="191">
                  <c:v>17</c:v>
                </c:pt>
                <c:pt idx="192">
                  <c:v>170.0</c:v>
                </c:pt>
                <c:pt idx="193">
                  <c:v>170.0</c:v>
                </c:pt>
                <c:pt idx="194">
                  <c:v>170.0</c:v>
                </c:pt>
                <c:pt idx="195">
                  <c:v>170.0</c:v>
                </c:pt>
                <c:pt idx="196">
                  <c:v>170.0</c:v>
                </c:pt>
                <c:pt idx="197">
                  <c:v>170.0</c:v>
                </c:pt>
                <c:pt idx="198">
                  <c:v>170.0</c:v>
                </c:pt>
                <c:pt idx="199">
                  <c:v>170.0</c:v>
                </c:pt>
                <c:pt idx="200">
                  <c:v>170.0</c:v>
                </c:pt>
                <c:pt idx="201">
                  <c:v>170.0</c:v>
                </c:pt>
                <c:pt idx="202">
                  <c:v>17</c:v>
                </c:pt>
                <c:pt idx="203">
                  <c:v>170.0</c:v>
                </c:pt>
                <c:pt idx="204">
                  <c:v>170.0</c:v>
                </c:pt>
                <c:pt idx="205">
                  <c:v>170.0</c:v>
                </c:pt>
                <c:pt idx="206">
                  <c:v>170.0</c:v>
                </c:pt>
                <c:pt idx="207">
                  <c:v>170.0</c:v>
                </c:pt>
                <c:pt idx="208">
                  <c:v>170.0</c:v>
                </c:pt>
                <c:pt idx="209">
                  <c:v>17</c:v>
                </c:pt>
                <c:pt idx="210">
                  <c:v>170.0</c:v>
                </c:pt>
                <c:pt idx="211">
                  <c:v>170.0</c:v>
                </c:pt>
                <c:pt idx="212">
                  <c:v>170.0</c:v>
                </c:pt>
                <c:pt idx="213">
                  <c:v>170.0</c:v>
                </c:pt>
                <c:pt idx="214">
                  <c:v>17</c:v>
                </c:pt>
                <c:pt idx="215">
                  <c:v>170.0</c:v>
                </c:pt>
                <c:pt idx="216">
                  <c:v>170.0</c:v>
                </c:pt>
                <c:pt idx="217">
                  <c:v>170.0</c:v>
                </c:pt>
                <c:pt idx="218">
                  <c:v>170.0</c:v>
                </c:pt>
                <c:pt idx="219">
                  <c:v>170.0</c:v>
                </c:pt>
                <c:pt idx="220">
                  <c:v>170.0</c:v>
                </c:pt>
                <c:pt idx="221">
                  <c:v>17</c:v>
                </c:pt>
                <c:pt idx="222">
                  <c:v>170.0</c:v>
                </c:pt>
                <c:pt idx="223">
                  <c:v>170.0000000000001</c:v>
                </c:pt>
                <c:pt idx="224">
                  <c:v>170.0</c:v>
                </c:pt>
                <c:pt idx="225">
                  <c:v>170.0000000000001</c:v>
                </c:pt>
                <c:pt idx="226">
                  <c:v>170.0</c:v>
                </c:pt>
                <c:pt idx="227">
                  <c:v>170.0</c:v>
                </c:pt>
                <c:pt idx="228">
                  <c:v>170.0</c:v>
                </c:pt>
                <c:pt idx="229">
                  <c:v>170.0</c:v>
                </c:pt>
                <c:pt idx="230">
                  <c:v>169.9999999999999</c:v>
                </c:pt>
                <c:pt idx="231">
                  <c:v>170.0</c:v>
                </c:pt>
                <c:pt idx="232">
                  <c:v>170.0</c:v>
                </c:pt>
                <c:pt idx="233">
                  <c:v>170.0</c:v>
                </c:pt>
                <c:pt idx="234">
                  <c:v>170.0</c:v>
                </c:pt>
                <c:pt idx="235">
                  <c:v>170.0</c:v>
                </c:pt>
                <c:pt idx="236">
                  <c:v>17</c:v>
                </c:pt>
                <c:pt idx="237">
                  <c:v>17</c:v>
                </c:pt>
                <c:pt idx="238">
                  <c:v>170.0</c:v>
                </c:pt>
                <c:pt idx="239">
                  <c:v>17</c:v>
                </c:pt>
                <c:pt idx="240">
                  <c:v>170.0</c:v>
                </c:pt>
                <c:pt idx="241">
                  <c:v>17</c:v>
                </c:pt>
                <c:pt idx="242">
                  <c:v>170.0</c:v>
                </c:pt>
                <c:pt idx="243">
                  <c:v>17</c:v>
                </c:pt>
                <c:pt idx="244">
                  <c:v>170.0</c:v>
                </c:pt>
                <c:pt idx="245">
                  <c:v>169.9999999999999</c:v>
                </c:pt>
                <c:pt idx="246">
                  <c:v>170.0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170.0</c:v>
                </c:pt>
                <c:pt idx="251">
                  <c:v>17</c:v>
                </c:pt>
                <c:pt idx="252">
                  <c:v>170.0</c:v>
                </c:pt>
                <c:pt idx="253">
                  <c:v>170.0</c:v>
                </c:pt>
                <c:pt idx="254">
                  <c:v>170.0</c:v>
                </c:pt>
                <c:pt idx="255">
                  <c:v>170.0</c:v>
                </c:pt>
                <c:pt idx="256">
                  <c:v>170.0</c:v>
                </c:pt>
                <c:pt idx="257">
                  <c:v>170.0</c:v>
                </c:pt>
                <c:pt idx="258">
                  <c:v>170.0</c:v>
                </c:pt>
                <c:pt idx="259">
                  <c:v>17</c:v>
                </c:pt>
                <c:pt idx="260">
                  <c:v>170.0</c:v>
                </c:pt>
                <c:pt idx="261">
                  <c:v>170.0</c:v>
                </c:pt>
                <c:pt idx="262">
                  <c:v>170.0</c:v>
                </c:pt>
                <c:pt idx="263">
                  <c:v>170.0</c:v>
                </c:pt>
                <c:pt idx="264">
                  <c:v>170.0</c:v>
                </c:pt>
                <c:pt idx="265">
                  <c:v>170.0</c:v>
                </c:pt>
                <c:pt idx="266">
                  <c:v>170.0</c:v>
                </c:pt>
                <c:pt idx="267">
                  <c:v>170.0</c:v>
                </c:pt>
                <c:pt idx="268">
                  <c:v>170.0</c:v>
                </c:pt>
                <c:pt idx="269">
                  <c:v>170.0</c:v>
                </c:pt>
                <c:pt idx="270">
                  <c:v>170.0</c:v>
                </c:pt>
                <c:pt idx="271">
                  <c:v>17</c:v>
                </c:pt>
                <c:pt idx="272">
                  <c:v>170.0</c:v>
                </c:pt>
                <c:pt idx="273">
                  <c:v>170.0</c:v>
                </c:pt>
                <c:pt idx="274">
                  <c:v>170.0</c:v>
                </c:pt>
                <c:pt idx="275">
                  <c:v>170.0</c:v>
                </c:pt>
                <c:pt idx="276">
                  <c:v>170.0</c:v>
                </c:pt>
                <c:pt idx="277">
                  <c:v>17</c:v>
                </c:pt>
                <c:pt idx="278">
                  <c:v>170.0</c:v>
                </c:pt>
                <c:pt idx="279">
                  <c:v>170.0</c:v>
                </c:pt>
                <c:pt idx="280">
                  <c:v>170.0</c:v>
                </c:pt>
                <c:pt idx="281">
                  <c:v>170.0</c:v>
                </c:pt>
                <c:pt idx="282">
                  <c:v>170.0</c:v>
                </c:pt>
                <c:pt idx="283">
                  <c:v>17</c:v>
                </c:pt>
                <c:pt idx="284">
                  <c:v>17</c:v>
                </c:pt>
                <c:pt idx="285">
                  <c:v>170.0</c:v>
                </c:pt>
                <c:pt idx="286">
                  <c:v>170.0</c:v>
                </c:pt>
                <c:pt idx="287">
                  <c:v>170.0</c:v>
                </c:pt>
                <c:pt idx="288">
                  <c:v>170.0</c:v>
                </c:pt>
                <c:pt idx="289">
                  <c:v>170.0</c:v>
                </c:pt>
                <c:pt idx="290">
                  <c:v>170.0</c:v>
                </c:pt>
                <c:pt idx="291">
                  <c:v>170.0</c:v>
                </c:pt>
                <c:pt idx="292">
                  <c:v>170.0</c:v>
                </c:pt>
                <c:pt idx="293">
                  <c:v>170.0</c:v>
                </c:pt>
                <c:pt idx="294">
                  <c:v>17</c:v>
                </c:pt>
                <c:pt idx="295">
                  <c:v>170.0</c:v>
                </c:pt>
                <c:pt idx="296">
                  <c:v>170.0</c:v>
                </c:pt>
                <c:pt idx="297">
                  <c:v>170.0</c:v>
                </c:pt>
                <c:pt idx="298">
                  <c:v>17</c:v>
                </c:pt>
                <c:pt idx="299">
                  <c:v>170.0</c:v>
                </c:pt>
                <c:pt idx="300">
                  <c:v>170.0</c:v>
                </c:pt>
                <c:pt idx="301">
                  <c:v>170.0</c:v>
                </c:pt>
                <c:pt idx="302">
                  <c:v>17</c:v>
                </c:pt>
                <c:pt idx="303">
                  <c:v>170.0</c:v>
                </c:pt>
                <c:pt idx="304">
                  <c:v>170.0</c:v>
                </c:pt>
                <c:pt idx="305">
                  <c:v>170.0</c:v>
                </c:pt>
                <c:pt idx="306">
                  <c:v>170.0</c:v>
                </c:pt>
                <c:pt idx="307">
                  <c:v>170.0</c:v>
                </c:pt>
                <c:pt idx="308">
                  <c:v>170.0</c:v>
                </c:pt>
                <c:pt idx="309">
                  <c:v>170.0</c:v>
                </c:pt>
                <c:pt idx="310">
                  <c:v>170.0</c:v>
                </c:pt>
                <c:pt idx="311">
                  <c:v>170.0</c:v>
                </c:pt>
                <c:pt idx="312">
                  <c:v>170.0</c:v>
                </c:pt>
                <c:pt idx="313">
                  <c:v>170.0</c:v>
                </c:pt>
                <c:pt idx="314">
                  <c:v>17</c:v>
                </c:pt>
                <c:pt idx="315">
                  <c:v>170.0</c:v>
                </c:pt>
                <c:pt idx="316">
                  <c:v>170.0</c:v>
                </c:pt>
                <c:pt idx="317">
                  <c:v>17</c:v>
                </c:pt>
                <c:pt idx="318">
                  <c:v>170.0</c:v>
                </c:pt>
                <c:pt idx="319">
                  <c:v>17</c:v>
                </c:pt>
                <c:pt idx="320">
                  <c:v>17</c:v>
                </c:pt>
                <c:pt idx="321">
                  <c:v>170.0</c:v>
                </c:pt>
                <c:pt idx="322">
                  <c:v>170.0000000000001</c:v>
                </c:pt>
                <c:pt idx="323">
                  <c:v>170.0</c:v>
                </c:pt>
                <c:pt idx="324">
                  <c:v>170.0</c:v>
                </c:pt>
                <c:pt idx="325">
                  <c:v>170.0</c:v>
                </c:pt>
                <c:pt idx="326">
                  <c:v>170.0</c:v>
                </c:pt>
                <c:pt idx="327">
                  <c:v>17</c:v>
                </c:pt>
                <c:pt idx="328">
                  <c:v>170.0</c:v>
                </c:pt>
                <c:pt idx="329">
                  <c:v>170.0</c:v>
                </c:pt>
                <c:pt idx="330">
                  <c:v>170.0</c:v>
                </c:pt>
                <c:pt idx="331">
                  <c:v>170.0</c:v>
                </c:pt>
                <c:pt idx="332">
                  <c:v>170.0</c:v>
                </c:pt>
                <c:pt idx="333">
                  <c:v>170.0</c:v>
                </c:pt>
                <c:pt idx="334">
                  <c:v>17</c:v>
                </c:pt>
                <c:pt idx="335">
                  <c:v>170.0</c:v>
                </c:pt>
                <c:pt idx="336">
                  <c:v>170.0</c:v>
                </c:pt>
                <c:pt idx="337">
                  <c:v>170.0</c:v>
                </c:pt>
                <c:pt idx="338">
                  <c:v>170.0</c:v>
                </c:pt>
                <c:pt idx="339">
                  <c:v>170.0</c:v>
                </c:pt>
                <c:pt idx="340">
                  <c:v>170.0</c:v>
                </c:pt>
                <c:pt idx="341">
                  <c:v>170.0</c:v>
                </c:pt>
                <c:pt idx="342">
                  <c:v>170.0</c:v>
                </c:pt>
                <c:pt idx="343">
                  <c:v>17</c:v>
                </c:pt>
                <c:pt idx="344">
                  <c:v>170.0</c:v>
                </c:pt>
                <c:pt idx="345">
                  <c:v>170.0</c:v>
                </c:pt>
                <c:pt idx="346">
                  <c:v>170.0</c:v>
                </c:pt>
                <c:pt idx="347">
                  <c:v>170.0</c:v>
                </c:pt>
                <c:pt idx="348">
                  <c:v>17</c:v>
                </c:pt>
                <c:pt idx="349">
                  <c:v>170.0</c:v>
                </c:pt>
                <c:pt idx="350">
                  <c:v>170.0</c:v>
                </c:pt>
                <c:pt idx="351">
                  <c:v>17</c:v>
                </c:pt>
                <c:pt idx="352">
                  <c:v>17</c:v>
                </c:pt>
                <c:pt idx="353">
                  <c:v>170.0</c:v>
                </c:pt>
                <c:pt idx="354">
                  <c:v>17</c:v>
                </c:pt>
                <c:pt idx="355">
                  <c:v>170.0</c:v>
                </c:pt>
                <c:pt idx="356">
                  <c:v>170.0</c:v>
                </c:pt>
                <c:pt idx="357">
                  <c:v>170.0</c:v>
                </c:pt>
                <c:pt idx="358">
                  <c:v>170.0</c:v>
                </c:pt>
                <c:pt idx="359">
                  <c:v>170.0</c:v>
                </c:pt>
                <c:pt idx="360">
                  <c:v>17</c:v>
                </c:pt>
                <c:pt idx="361">
                  <c:v>170.0</c:v>
                </c:pt>
                <c:pt idx="362">
                  <c:v>170.0</c:v>
                </c:pt>
                <c:pt idx="363">
                  <c:v>170.0</c:v>
                </c:pt>
                <c:pt idx="364">
                  <c:v>170.0</c:v>
                </c:pt>
                <c:pt idx="365">
                  <c:v>170.0</c:v>
                </c:pt>
                <c:pt idx="366">
                  <c:v>170.0</c:v>
                </c:pt>
                <c:pt idx="367">
                  <c:v>170.0</c:v>
                </c:pt>
                <c:pt idx="368">
                  <c:v>170.0</c:v>
                </c:pt>
                <c:pt idx="369">
                  <c:v>170.0</c:v>
                </c:pt>
                <c:pt idx="370">
                  <c:v>17</c:v>
                </c:pt>
                <c:pt idx="371">
                  <c:v>170.0</c:v>
                </c:pt>
                <c:pt idx="372">
                  <c:v>170.0</c:v>
                </c:pt>
                <c:pt idx="373">
                  <c:v>170.0</c:v>
                </c:pt>
                <c:pt idx="374">
                  <c:v>170.0</c:v>
                </c:pt>
                <c:pt idx="375">
                  <c:v>17</c:v>
                </c:pt>
                <c:pt idx="376">
                  <c:v>170.0</c:v>
                </c:pt>
                <c:pt idx="377">
                  <c:v>170.0</c:v>
                </c:pt>
                <c:pt idx="378">
                  <c:v>17</c:v>
                </c:pt>
                <c:pt idx="379">
                  <c:v>17</c:v>
                </c:pt>
                <c:pt idx="380">
                  <c:v>170.0</c:v>
                </c:pt>
                <c:pt idx="381">
                  <c:v>170.0</c:v>
                </c:pt>
                <c:pt idx="382">
                  <c:v>170.0</c:v>
                </c:pt>
                <c:pt idx="383">
                  <c:v>170.0</c:v>
                </c:pt>
                <c:pt idx="384">
                  <c:v>170.0</c:v>
                </c:pt>
                <c:pt idx="385">
                  <c:v>170.0</c:v>
                </c:pt>
                <c:pt idx="386">
                  <c:v>170.0</c:v>
                </c:pt>
                <c:pt idx="387">
                  <c:v>170.0</c:v>
                </c:pt>
                <c:pt idx="388">
                  <c:v>170.0</c:v>
                </c:pt>
                <c:pt idx="389">
                  <c:v>170.0</c:v>
                </c:pt>
                <c:pt idx="390">
                  <c:v>170.0</c:v>
                </c:pt>
                <c:pt idx="391">
                  <c:v>17</c:v>
                </c:pt>
                <c:pt idx="392">
                  <c:v>17</c:v>
                </c:pt>
                <c:pt idx="393">
                  <c:v>170.0</c:v>
                </c:pt>
                <c:pt idx="394">
                  <c:v>170.0</c:v>
                </c:pt>
                <c:pt idx="395">
                  <c:v>17</c:v>
                </c:pt>
                <c:pt idx="396">
                  <c:v>17</c:v>
                </c:pt>
                <c:pt idx="397">
                  <c:v>170.0</c:v>
                </c:pt>
                <c:pt idx="398">
                  <c:v>170.0</c:v>
                </c:pt>
                <c:pt idx="399">
                  <c:v>170.0</c:v>
                </c:pt>
                <c:pt idx="400">
                  <c:v>170.0</c:v>
                </c:pt>
                <c:pt idx="401">
                  <c:v>17</c:v>
                </c:pt>
                <c:pt idx="402">
                  <c:v>169.9999999999999</c:v>
                </c:pt>
                <c:pt idx="403">
                  <c:v>170.0</c:v>
                </c:pt>
                <c:pt idx="404">
                  <c:v>170.0</c:v>
                </c:pt>
                <c:pt idx="405">
                  <c:v>170.0</c:v>
                </c:pt>
                <c:pt idx="406">
                  <c:v>170.0</c:v>
                </c:pt>
                <c:pt idx="407">
                  <c:v>170.0</c:v>
                </c:pt>
                <c:pt idx="408">
                  <c:v>170.0</c:v>
                </c:pt>
                <c:pt idx="409">
                  <c:v>170.0</c:v>
                </c:pt>
                <c:pt idx="410">
                  <c:v>170.0</c:v>
                </c:pt>
                <c:pt idx="411">
                  <c:v>170.0</c:v>
                </c:pt>
                <c:pt idx="412">
                  <c:v>170.0</c:v>
                </c:pt>
                <c:pt idx="413">
                  <c:v>170.0</c:v>
                </c:pt>
                <c:pt idx="414">
                  <c:v>170.0</c:v>
                </c:pt>
                <c:pt idx="415">
                  <c:v>170.0</c:v>
                </c:pt>
                <c:pt idx="416">
                  <c:v>170.0</c:v>
                </c:pt>
                <c:pt idx="417">
                  <c:v>170.0</c:v>
                </c:pt>
                <c:pt idx="418">
                  <c:v>170.0</c:v>
                </c:pt>
                <c:pt idx="419">
                  <c:v>170.0000000000001</c:v>
                </c:pt>
                <c:pt idx="420">
                  <c:v>170.0</c:v>
                </c:pt>
                <c:pt idx="421">
                  <c:v>170.0</c:v>
                </c:pt>
                <c:pt idx="422">
                  <c:v>170.0</c:v>
                </c:pt>
                <c:pt idx="423">
                  <c:v>170.0</c:v>
                </c:pt>
                <c:pt idx="424">
                  <c:v>170.0</c:v>
                </c:pt>
                <c:pt idx="425">
                  <c:v>170.0</c:v>
                </c:pt>
                <c:pt idx="426">
                  <c:v>170.0</c:v>
                </c:pt>
                <c:pt idx="427">
                  <c:v>170.0</c:v>
                </c:pt>
                <c:pt idx="428">
                  <c:v>170.0</c:v>
                </c:pt>
                <c:pt idx="429">
                  <c:v>17</c:v>
                </c:pt>
                <c:pt idx="430">
                  <c:v>170.0</c:v>
                </c:pt>
                <c:pt idx="431">
                  <c:v>170.0</c:v>
                </c:pt>
                <c:pt idx="432">
                  <c:v>170.0</c:v>
                </c:pt>
                <c:pt idx="433">
                  <c:v>170.0</c:v>
                </c:pt>
                <c:pt idx="434">
                  <c:v>170.0</c:v>
                </c:pt>
                <c:pt idx="435">
                  <c:v>170.0</c:v>
                </c:pt>
                <c:pt idx="436">
                  <c:v>170.0</c:v>
                </c:pt>
                <c:pt idx="437">
                  <c:v>17</c:v>
                </c:pt>
                <c:pt idx="438">
                  <c:v>170.0</c:v>
                </c:pt>
                <c:pt idx="439">
                  <c:v>170.0</c:v>
                </c:pt>
                <c:pt idx="440">
                  <c:v>170.0</c:v>
                </c:pt>
                <c:pt idx="441">
                  <c:v>170.0</c:v>
                </c:pt>
                <c:pt idx="442">
                  <c:v>170.0</c:v>
                </c:pt>
                <c:pt idx="443">
                  <c:v>17</c:v>
                </c:pt>
                <c:pt idx="444">
                  <c:v>170.0</c:v>
                </c:pt>
                <c:pt idx="445">
                  <c:v>170.0</c:v>
                </c:pt>
                <c:pt idx="446">
                  <c:v>170.0</c:v>
                </c:pt>
                <c:pt idx="447">
                  <c:v>170.0</c:v>
                </c:pt>
                <c:pt idx="448">
                  <c:v>170.0</c:v>
                </c:pt>
                <c:pt idx="449">
                  <c:v>170.0</c:v>
                </c:pt>
                <c:pt idx="450">
                  <c:v>170.0</c:v>
                </c:pt>
                <c:pt idx="451">
                  <c:v>170.0</c:v>
                </c:pt>
                <c:pt idx="452">
                  <c:v>170.0</c:v>
                </c:pt>
                <c:pt idx="453">
                  <c:v>17</c:v>
                </c:pt>
                <c:pt idx="454">
                  <c:v>170.0</c:v>
                </c:pt>
                <c:pt idx="455">
                  <c:v>17</c:v>
                </c:pt>
                <c:pt idx="456">
                  <c:v>170.0</c:v>
                </c:pt>
                <c:pt idx="457">
                  <c:v>170.0</c:v>
                </c:pt>
                <c:pt idx="458">
                  <c:v>170.0</c:v>
                </c:pt>
                <c:pt idx="459">
                  <c:v>170.0</c:v>
                </c:pt>
                <c:pt idx="460">
                  <c:v>170.0</c:v>
                </c:pt>
                <c:pt idx="461">
                  <c:v>170.0</c:v>
                </c:pt>
                <c:pt idx="462">
                  <c:v>170.0</c:v>
                </c:pt>
                <c:pt idx="463">
                  <c:v>17</c:v>
                </c:pt>
                <c:pt idx="464">
                  <c:v>170.0</c:v>
                </c:pt>
                <c:pt idx="465">
                  <c:v>170.0</c:v>
                </c:pt>
                <c:pt idx="466">
                  <c:v>170.0</c:v>
                </c:pt>
                <c:pt idx="467">
                  <c:v>17</c:v>
                </c:pt>
                <c:pt idx="468">
                  <c:v>170.0</c:v>
                </c:pt>
                <c:pt idx="469">
                  <c:v>170.0</c:v>
                </c:pt>
                <c:pt idx="470">
                  <c:v>170.0</c:v>
                </c:pt>
                <c:pt idx="471">
                  <c:v>170.0</c:v>
                </c:pt>
                <c:pt idx="472">
                  <c:v>169.9999999999999</c:v>
                </c:pt>
                <c:pt idx="473">
                  <c:v>170.0</c:v>
                </c:pt>
                <c:pt idx="474">
                  <c:v>170.0</c:v>
                </c:pt>
                <c:pt idx="475">
                  <c:v>170.0</c:v>
                </c:pt>
                <c:pt idx="476">
                  <c:v>170.0</c:v>
                </c:pt>
                <c:pt idx="477">
                  <c:v>170.0000000000001</c:v>
                </c:pt>
                <c:pt idx="478">
                  <c:v>170.0</c:v>
                </c:pt>
                <c:pt idx="479">
                  <c:v>17</c:v>
                </c:pt>
                <c:pt idx="480">
                  <c:v>17</c:v>
                </c:pt>
                <c:pt idx="481">
                  <c:v>170.0</c:v>
                </c:pt>
                <c:pt idx="482">
                  <c:v>170.0000000000001</c:v>
                </c:pt>
                <c:pt idx="483">
                  <c:v>170.0</c:v>
                </c:pt>
                <c:pt idx="484">
                  <c:v>170.0000000000001</c:v>
                </c:pt>
                <c:pt idx="485">
                  <c:v>170.0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170.0</c:v>
                </c:pt>
                <c:pt idx="494">
                  <c:v>17</c:v>
                </c:pt>
                <c:pt idx="495">
                  <c:v>170.0</c:v>
                </c:pt>
                <c:pt idx="496">
                  <c:v>17</c:v>
                </c:pt>
                <c:pt idx="497">
                  <c:v>170.0</c:v>
                </c:pt>
                <c:pt idx="498">
                  <c:v>170.0000000000001</c:v>
                </c:pt>
                <c:pt idx="499">
                  <c:v>170.0</c:v>
                </c:pt>
                <c:pt idx="500">
                  <c:v>170.0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04060176"/>
        <c:axId val="-1106644896"/>
      </c:scatterChart>
      <c:valAx>
        <c:axId val="-110406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6644896"/>
        <c:crosses val="autoZero"/>
        <c:crossBetween val="midCat"/>
      </c:valAx>
      <c:valAx>
        <c:axId val="-110664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</a:t>
                </a:r>
                <a:r>
                  <a:rPr lang="en-US" baseline="0"/>
                  <a:t> (J)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406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Energy of Iterative</a:t>
            </a:r>
            <a:r>
              <a:rPr lang="en-US" baseline="0"/>
              <a:t> Steps*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Kinetic Energy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Steps'!$E$1:$E$501</c:f>
              <c:numCache>
                <c:formatCode>General</c:formatCode>
                <c:ptCount val="501"/>
                <c:pt idx="0">
                  <c:v>0.0</c:v>
                </c:pt>
                <c:pt idx="1">
                  <c:v>160.0</c:v>
                </c:pt>
                <c:pt idx="2">
                  <c:v>158.9962694875554</c:v>
                </c:pt>
                <c:pt idx="3">
                  <c:v>157.945644097773</c:v>
                </c:pt>
                <c:pt idx="4">
                  <c:v>156.8487874368996</c:v>
                </c:pt>
                <c:pt idx="5">
                  <c:v>155.7063923122282</c:v>
                </c:pt>
                <c:pt idx="6">
                  <c:v>154.5191802945001</c:v>
                </c:pt>
                <c:pt idx="7">
                  <c:v>153.2879012621392</c:v>
                </c:pt>
                <c:pt idx="8">
                  <c:v>152.0133329276067</c:v>
                </c:pt>
                <c:pt idx="9">
                  <c:v>150.6962803461745</c:v>
                </c:pt>
                <c:pt idx="10">
                  <c:v>149.337575407429</c:v>
                </c:pt>
                <c:pt idx="11">
                  <c:v>147.9380763098237</c:v>
                </c:pt>
                <c:pt idx="12">
                  <c:v>146.498667018617</c:v>
                </c:pt>
                <c:pt idx="13">
                  <c:v>145.0202567075322</c:v>
                </c:pt>
                <c:pt idx="14">
                  <c:v>143.503779184497</c:v>
                </c:pt>
                <c:pt idx="15">
                  <c:v>141.9501923018227</c:v>
                </c:pt>
                <c:pt idx="16">
                  <c:v>140.3604773511955</c:v>
                </c:pt>
                <c:pt idx="17">
                  <c:v>138.7356384438643</c:v>
                </c:pt>
                <c:pt idx="18">
                  <c:v>137.0767018764137</c:v>
                </c:pt>
                <c:pt idx="19">
                  <c:v>135.3847154825247</c:v>
                </c:pt>
                <c:pt idx="20">
                  <c:v>133.6607479711316</c:v>
                </c:pt>
                <c:pt idx="21">
                  <c:v>131.9058882513941</c:v>
                </c:pt>
                <c:pt idx="22">
                  <c:v>130.1212447449093</c:v>
                </c:pt>
                <c:pt idx="23">
                  <c:v>128.3079446856</c:v>
                </c:pt>
                <c:pt idx="24">
                  <c:v>126.4671334077201</c:v>
                </c:pt>
                <c:pt idx="25">
                  <c:v>124.5999736224277</c:v>
                </c:pt>
                <c:pt idx="26">
                  <c:v>122.7076446833816</c:v>
                </c:pt>
                <c:pt idx="27">
                  <c:v>120.791341841827</c:v>
                </c:pt>
                <c:pt idx="28">
                  <c:v>118.8522754916389</c:v>
                </c:pt>
                <c:pt idx="29">
                  <c:v>116.8916704048015</c:v>
                </c:pt>
                <c:pt idx="30">
                  <c:v>114.9107649578058</c:v>
                </c:pt>
                <c:pt idx="31">
                  <c:v>112.9108103494539</c:v>
                </c:pt>
                <c:pt idx="32">
                  <c:v>110.8930698105651</c:v>
                </c:pt>
                <c:pt idx="33">
                  <c:v>108.8588178060813</c:v>
                </c:pt>
                <c:pt idx="34">
                  <c:v>106.8093392300773</c:v>
                </c:pt>
                <c:pt idx="35">
                  <c:v>104.7459285941832</c:v>
                </c:pt>
                <c:pt idx="36">
                  <c:v>102.6698892099327</c:v>
                </c:pt>
                <c:pt idx="37">
                  <c:v>100.5825323655526</c:v>
                </c:pt>
                <c:pt idx="38">
                  <c:v>98.48517649771408</c:v>
                </c:pt>
                <c:pt idx="39">
                  <c:v>96.37914635876905</c:v>
                </c:pt>
                <c:pt idx="40">
                  <c:v>94.265772179997</c:v>
                </c:pt>
                <c:pt idx="41">
                  <c:v>92.14638883139139</c:v>
                </c:pt>
                <c:pt idx="42">
                  <c:v>90.0223349785162</c:v>
                </c:pt>
                <c:pt idx="43">
                  <c:v>87.89495223696471</c:v>
                </c:pt>
                <c:pt idx="44">
                  <c:v>85.7655843249554</c:v>
                </c:pt>
                <c:pt idx="45">
                  <c:v>83.6355762145994</c:v>
                </c:pt>
                <c:pt idx="46">
                  <c:v>81.50627328237618</c:v>
                </c:pt>
                <c:pt idx="47">
                  <c:v>79.37902045935373</c:v>
                </c:pt>
                <c:pt idx="48">
                  <c:v>77.25516138169007</c:v>
                </c:pt>
                <c:pt idx="49">
                  <c:v>75.13603754195275</c:v>
                </c:pt>
                <c:pt idx="50">
                  <c:v>73.02298744179214</c:v>
                </c:pt>
                <c:pt idx="51">
                  <c:v>70.91734574650405</c:v>
                </c:pt>
                <c:pt idx="52">
                  <c:v>68.82044244201545</c:v>
                </c:pt>
                <c:pt idx="53">
                  <c:v>66.7336019948257</c:v>
                </c:pt>
                <c:pt idx="54">
                  <c:v>64.65814251543416</c:v>
                </c:pt>
                <c:pt idx="55">
                  <c:v>62.5953749257825</c:v>
                </c:pt>
                <c:pt idx="56">
                  <c:v>60.54660213123719</c:v>
                </c:pt>
                <c:pt idx="57">
                  <c:v>58.51311819763594</c:v>
                </c:pt>
                <c:pt idx="58">
                  <c:v>56.49620753391706</c:v>
                </c:pt>
                <c:pt idx="59">
                  <c:v>54.49714408084864</c:v>
                </c:pt>
                <c:pt idx="60">
                  <c:v>52.51719050636966</c:v>
                </c:pt>
                <c:pt idx="61">
                  <c:v>50.55759740805137</c:v>
                </c:pt>
                <c:pt idx="62">
                  <c:v>48.61960252318266</c:v>
                </c:pt>
                <c:pt idx="63">
                  <c:v>46.70442994697835</c:v>
                </c:pt>
                <c:pt idx="64">
                  <c:v>44.81328935940426</c:v>
                </c:pt>
                <c:pt idx="65">
                  <c:v>42.9473752611074</c:v>
                </c:pt>
                <c:pt idx="66">
                  <c:v>41.10786621893374</c:v>
                </c:pt>
                <c:pt idx="67">
                  <c:v>39.2959241215104</c:v>
                </c:pt>
                <c:pt idx="68">
                  <c:v>37.51269344536225</c:v>
                </c:pt>
                <c:pt idx="69">
                  <c:v>35.75930053202642</c:v>
                </c:pt>
                <c:pt idx="70">
                  <c:v>34.03685287662154</c:v>
                </c:pt>
                <c:pt idx="71">
                  <c:v>32.34643842832089</c:v>
                </c:pt>
                <c:pt idx="72">
                  <c:v>30.68912490317129</c:v>
                </c:pt>
                <c:pt idx="73">
                  <c:v>29.06595910969191</c:v>
                </c:pt>
                <c:pt idx="74">
                  <c:v>27.4779662876789</c:v>
                </c:pt>
                <c:pt idx="75">
                  <c:v>25.92614946063338</c:v>
                </c:pt>
                <c:pt idx="76">
                  <c:v>24.41148880222204</c:v>
                </c:pt>
                <c:pt idx="77">
                  <c:v>22.9349410171702</c:v>
                </c:pt>
                <c:pt idx="78">
                  <c:v>21.49743873697873</c:v>
                </c:pt>
                <c:pt idx="79">
                  <c:v>20.09988993084624</c:v>
                </c:pt>
                <c:pt idx="80">
                  <c:v>18.74317733216868</c:v>
                </c:pt>
                <c:pt idx="81">
                  <c:v>17.42815788097872</c:v>
                </c:pt>
                <c:pt idx="82">
                  <c:v>16.1556621826769</c:v>
                </c:pt>
                <c:pt idx="83">
                  <c:v>14.92649398339659</c:v>
                </c:pt>
                <c:pt idx="84">
                  <c:v>13.74142966233398</c:v>
                </c:pt>
                <c:pt idx="85">
                  <c:v>12.60121774136393</c:v>
                </c:pt>
                <c:pt idx="86">
                  <c:v>11.50657841225126</c:v>
                </c:pt>
                <c:pt idx="87">
                  <c:v>10.45820308175622</c:v>
                </c:pt>
                <c:pt idx="88">
                  <c:v>9.456753934921422</c:v>
                </c:pt>
                <c:pt idx="89">
                  <c:v>8.502863516816047</c:v>
                </c:pt>
                <c:pt idx="90">
                  <c:v>7.597134333001588</c:v>
                </c:pt>
                <c:pt idx="91">
                  <c:v>6.740138468971405</c:v>
                </c:pt>
                <c:pt idx="92">
                  <c:v>5.932417228804512</c:v>
                </c:pt>
                <c:pt idx="93">
                  <c:v>5.17448079326182</c:v>
                </c:pt>
                <c:pt idx="94">
                  <c:v>4.466807897540796</c:v>
                </c:pt>
                <c:pt idx="95">
                  <c:v>3.809845528892063</c:v>
                </c:pt>
                <c:pt idx="96">
                  <c:v>3.204008644288969</c:v>
                </c:pt>
                <c:pt idx="97">
                  <c:v>2.649679908328412</c:v>
                </c:pt>
                <c:pt idx="98">
                  <c:v>2.147209451528503</c:v>
                </c:pt>
                <c:pt idx="99">
                  <c:v>1.696914649175709</c:v>
                </c:pt>
                <c:pt idx="100">
                  <c:v>1.29907992086119</c:v>
                </c:pt>
                <c:pt idx="101">
                  <c:v>0.953956550832921</c:v>
                </c:pt>
                <c:pt idx="102">
                  <c:v>0.661762529277086</c:v>
                </c:pt>
                <c:pt idx="103">
                  <c:v>0.422682414628995</c:v>
                </c:pt>
                <c:pt idx="104">
                  <c:v>0.236867217000483</c:v>
                </c:pt>
                <c:pt idx="105">
                  <c:v>0.104434302797434</c:v>
                </c:pt>
                <c:pt idx="106">
                  <c:v>0.0254673205876694</c:v>
                </c:pt>
                <c:pt idx="107">
                  <c:v>1.6148266020548E-5</c:v>
                </c:pt>
                <c:pt idx="108">
                  <c:v>0.0280968615499695</c:v>
                </c:pt>
                <c:pt idx="109">
                  <c:v>0.109691723825747</c:v>
                </c:pt>
                <c:pt idx="110">
                  <c:v>0.244749197351305</c:v>
                </c:pt>
                <c:pt idx="111">
                  <c:v>0.433183975809088</c:v>
                </c:pt>
                <c:pt idx="112">
                  <c:v>0.674877038188041</c:v>
                </c:pt>
                <c:pt idx="113">
                  <c:v>0.969675723960819</c:v>
                </c:pt>
                <c:pt idx="114">
                  <c:v>1.317393829508717</c:v>
                </c:pt>
                <c:pt idx="115">
                  <c:v>1.717811725733417</c:v>
                </c:pt>
                <c:pt idx="116">
                  <c:v>2.170676496781256</c:v>
                </c:pt>
                <c:pt idx="117">
                  <c:v>2.675702099792404</c:v>
                </c:pt>
                <c:pt idx="118">
                  <c:v>3.23256954557404</c:v>
                </c:pt>
                <c:pt idx="119">
                  <c:v>3.840927100083422</c:v>
                </c:pt>
                <c:pt idx="120">
                  <c:v>4.500390506593556</c:v>
                </c:pt>
                <c:pt idx="121">
                  <c:v>5.210543228401193</c:v>
                </c:pt>
                <c:pt idx="122">
                  <c:v>5.970936711923786</c:v>
                </c:pt>
                <c:pt idx="123">
                  <c:v>6.781090670019284</c:v>
                </c:pt>
                <c:pt idx="124">
                  <c:v>7.640493385349768</c:v>
                </c:pt>
                <c:pt idx="125">
                  <c:v>8.548602033597351</c:v>
                </c:pt>
                <c:pt idx="126">
                  <c:v>9.504843026328163</c:v>
                </c:pt>
                <c:pt idx="127">
                  <c:v>10.50861237328786</c:v>
                </c:pt>
                <c:pt idx="128">
                  <c:v>11.55927606389985</c:v>
                </c:pt>
                <c:pt idx="129">
                  <c:v>12.6561704677252</c:v>
                </c:pt>
                <c:pt idx="130">
                  <c:v>13.79860275363139</c:v>
                </c:pt>
                <c:pt idx="131">
                  <c:v>14.98585132740507</c:v>
                </c:pt>
                <c:pt idx="132">
                  <c:v>16.21716628753239</c:v>
                </c:pt>
                <c:pt idx="133">
                  <c:v>17.49176989885916</c:v>
                </c:pt>
                <c:pt idx="134">
                  <c:v>18.80885708383144</c:v>
                </c:pt>
                <c:pt idx="135">
                  <c:v>20.16759593100653</c:v>
                </c:pt>
                <c:pt idx="136">
                  <c:v>21.56712822051294</c:v>
                </c:pt>
                <c:pt idx="137">
                  <c:v>23.0065699661276</c:v>
                </c:pt>
                <c:pt idx="138">
                  <c:v>24.48501197362788</c:v>
                </c:pt>
                <c:pt idx="139">
                  <c:v>26.00152041506568</c:v>
                </c:pt>
                <c:pt idx="140">
                  <c:v>27.55513741860091</c:v>
                </c:pt>
                <c:pt idx="141">
                  <c:v>29.14488167352191</c:v>
                </c:pt>
                <c:pt idx="142">
                  <c:v>30.7697490500704</c:v>
                </c:pt>
                <c:pt idx="143">
                  <c:v>32.42871323367977</c:v>
                </c:pt>
                <c:pt idx="144">
                  <c:v>34.12072637322587</c:v>
                </c:pt>
                <c:pt idx="145">
                  <c:v>35.84471974288093</c:v>
                </c:pt>
                <c:pt idx="146">
                  <c:v>37.59960441715258</c:v>
                </c:pt>
                <c:pt idx="147">
                  <c:v>39.3842719586816</c:v>
                </c:pt>
                <c:pt idx="148">
                  <c:v>41.19759511836394</c:v>
                </c:pt>
                <c:pt idx="149">
                  <c:v>43.03842854735475</c:v>
                </c:pt>
                <c:pt idx="150">
                  <c:v>44.9056095205048</c:v>
                </c:pt>
                <c:pt idx="151">
                  <c:v>46.79795867077226</c:v>
                </c:pt>
                <c:pt idx="152">
                  <c:v>48.71428073414599</c:v>
                </c:pt>
                <c:pt idx="153">
                  <c:v>50.65336530460987</c:v>
                </c:pt>
                <c:pt idx="154">
                  <c:v>52.61398759867126</c:v>
                </c:pt>
                <c:pt idx="155">
                  <c:v>54.59490922897061</c:v>
                </c:pt>
                <c:pt idx="156">
                  <c:v>56.59487898648384</c:v>
                </c:pt>
                <c:pt idx="157">
                  <c:v>58.61263363082312</c:v>
                </c:pt>
                <c:pt idx="158">
                  <c:v>60.64689868813708</c:v>
                </c:pt>
                <c:pt idx="159">
                  <c:v>62.69638925610644</c:v>
                </c:pt>
                <c:pt idx="160">
                  <c:v>64.75981081552646</c:v>
                </c:pt>
                <c:pt idx="161">
                  <c:v>66.83586004796388</c:v>
                </c:pt>
                <c:pt idx="162">
                  <c:v>68.9232256589715</c:v>
                </c:pt>
                <c:pt idx="163">
                  <c:v>71.0205892063409</c:v>
                </c:pt>
                <c:pt idx="164">
                  <c:v>73.12662593286953</c:v>
                </c:pt>
                <c:pt idx="165">
                  <c:v>75.240005603117</c:v>
                </c:pt>
                <c:pt idx="166">
                  <c:v>77.35939334362126</c:v>
                </c:pt>
                <c:pt idx="167">
                  <c:v>79.4834504860443</c:v>
                </c:pt>
                <c:pt idx="168">
                  <c:v>81.610835412715</c:v>
                </c:pt>
                <c:pt idx="169">
                  <c:v>83.74020440403478</c:v>
                </c:pt>
                <c:pt idx="170">
                  <c:v>85.87021248721072</c:v>
                </c:pt>
                <c:pt idx="171">
                  <c:v>87.99951428578053</c:v>
                </c:pt>
                <c:pt idx="172">
                  <c:v>90.12676486939228</c:v>
                </c:pt>
                <c:pt idx="173">
                  <c:v>92.25062060330245</c:v>
                </c:pt>
                <c:pt idx="174">
                  <c:v>94.36973999705546</c:v>
                </c:pt>
                <c:pt idx="175">
                  <c:v>96.4827845518092</c:v>
                </c:pt>
                <c:pt idx="176">
                  <c:v>98.58841960577045</c:v>
                </c:pt>
                <c:pt idx="177">
                  <c:v>100.6853151772072</c:v>
                </c:pt>
                <c:pt idx="178">
                  <c:v>102.7721468045043</c:v>
                </c:pt>
                <c:pt idx="179">
                  <c:v>104.8475963827336</c:v>
                </c:pt>
                <c:pt idx="180">
                  <c:v>106.9103529962071</c:v>
                </c:pt>
                <c:pt idx="181">
                  <c:v>108.9591137464912</c:v>
                </c:pt>
                <c:pt idx="182">
                  <c:v>110.9925845753558</c:v>
                </c:pt>
                <c:pt idx="183">
                  <c:v>113.0094810821398</c:v>
                </c:pt>
                <c:pt idx="184">
                  <c:v>115.0085293350172</c:v>
                </c:pt>
                <c:pt idx="185">
                  <c:v>116.98846667565</c:v>
                </c:pt>
                <c:pt idx="186">
                  <c:v>118.9480425167203</c:v>
                </c:pt>
                <c:pt idx="187">
                  <c:v>120.8860191318399</c:v>
                </c:pt>
                <c:pt idx="188">
                  <c:v>122.8011724373334</c:v>
                </c:pt>
                <c:pt idx="189">
                  <c:v>124.692292765407</c:v>
                </c:pt>
                <c:pt idx="190">
                  <c:v>126.5581856282102</c:v>
                </c:pt>
                <c:pt idx="191">
                  <c:v>128.39767247231</c:v>
                </c:pt>
                <c:pt idx="192">
                  <c:v>130.2095914231003</c:v>
                </c:pt>
                <c:pt idx="193">
                  <c:v>131.9927980186762</c:v>
                </c:pt>
                <c:pt idx="194">
                  <c:v>133.7461659327108</c:v>
                </c:pt>
                <c:pt idx="195">
                  <c:v>135.4685876858755</c:v>
                </c:pt>
                <c:pt idx="196">
                  <c:v>137.1589753453578</c:v>
                </c:pt>
                <c:pt idx="197">
                  <c:v>138.8162612120315</c:v>
                </c:pt>
                <c:pt idx="198">
                  <c:v>140.4393984948473</c:v>
                </c:pt>
                <c:pt idx="199">
                  <c:v>142.0273619720173</c:v>
                </c:pt>
                <c:pt idx="200">
                  <c:v>143.5791486385753</c:v>
                </c:pt>
                <c:pt idx="201">
                  <c:v>145.093778339905</c:v>
                </c:pt>
                <c:pt idx="202">
                  <c:v>146.5702943908345</c:v>
                </c:pt>
                <c:pt idx="203">
                  <c:v>148.0077641799071</c:v>
                </c:pt>
                <c:pt idx="204">
                  <c:v>149.4052797584466</c:v>
                </c:pt>
                <c:pt idx="205">
                  <c:v>150.7619584140445</c:v>
                </c:pt>
                <c:pt idx="206">
                  <c:v>152.0769432281077</c:v>
                </c:pt>
                <c:pt idx="207">
                  <c:v>153.3494036171134</c:v>
                </c:pt>
                <c:pt idx="208">
                  <c:v>154.5785358572306</c:v>
                </c:pt>
                <c:pt idx="209">
                  <c:v>155.7635635919761</c:v>
                </c:pt>
                <c:pt idx="210">
                  <c:v>156.903738322584</c:v>
                </c:pt>
                <c:pt idx="211">
                  <c:v>157.99833988078</c:v>
                </c:pt>
                <c:pt idx="212">
                  <c:v>159.0466768836612</c:v>
                </c:pt>
                <c:pt idx="213">
                  <c:v>160.0480871703937</c:v>
                </c:pt>
                <c:pt idx="214">
                  <c:v>161.0019382204535</c:v>
                </c:pt>
                <c:pt idx="215">
                  <c:v>161.9076275531453</c:v>
                </c:pt>
                <c:pt idx="216">
                  <c:v>162.7645831081467</c:v>
                </c:pt>
                <c:pt idx="217">
                  <c:v>163.5722636068392</c:v>
                </c:pt>
                <c:pt idx="218">
                  <c:v>164.3301588941954</c:v>
                </c:pt>
                <c:pt idx="219">
                  <c:v>165.0377902610083</c:v>
                </c:pt>
                <c:pt idx="220">
                  <c:v>165.694710746258</c:v>
                </c:pt>
                <c:pt idx="221">
                  <c:v>166.3005054194261</c:v>
                </c:pt>
                <c:pt idx="222">
                  <c:v>166.8547916425777</c:v>
                </c:pt>
                <c:pt idx="223">
                  <c:v>167.357219312047</c:v>
                </c:pt>
                <c:pt idx="224">
                  <c:v>167.8074710795733</c:v>
                </c:pt>
                <c:pt idx="225">
                  <c:v>168.2052625527474</c:v>
                </c:pt>
                <c:pt idx="226">
                  <c:v>168.5503424746427</c:v>
                </c:pt>
                <c:pt idx="227">
                  <c:v>168.8424928825161</c:v>
                </c:pt>
                <c:pt idx="228">
                  <c:v>169.08152924548</c:v>
                </c:pt>
                <c:pt idx="229">
                  <c:v>169.2673005810574</c:v>
                </c:pt>
                <c:pt idx="230">
                  <c:v>169.3996895505471</c:v>
                </c:pt>
                <c:pt idx="231">
                  <c:v>169.478612533138</c:v>
                </c:pt>
                <c:pt idx="232">
                  <c:v>169.5040196787266</c:v>
                </c:pt>
                <c:pt idx="233">
                  <c:v>169.4758949394043</c:v>
                </c:pt>
                <c:pt idx="234">
                  <c:v>169.3942560795927</c:v>
                </c:pt>
                <c:pt idx="235">
                  <c:v>169.2591546648243</c:v>
                </c:pt>
                <c:pt idx="236">
                  <c:v>169.070676029171</c:v>
                </c:pt>
                <c:pt idx="237">
                  <c:v>168.8289392213454</c:v>
                </c:pt>
                <c:pt idx="238">
                  <c:v>168.534096929506</c:v>
                </c:pt>
                <c:pt idx="239">
                  <c:v>168.1863353848142</c:v>
                </c:pt>
                <c:pt idx="240">
                  <c:v>167.7858742438058</c:v>
                </c:pt>
                <c:pt idx="241">
                  <c:v>167.3329664496492</c:v>
                </c:pt>
                <c:pt idx="242">
                  <c:v>166.8278980723788</c:v>
                </c:pt>
                <c:pt idx="243">
                  <c:v>166.270988128205</c:v>
                </c:pt>
                <c:pt idx="244">
                  <c:v>165.6625883780138</c:v>
                </c:pt>
                <c:pt idx="245">
                  <c:v>165.0030831051843</c:v>
                </c:pt>
                <c:pt idx="246">
                  <c:v>164.2928888728636</c:v>
                </c:pt>
                <c:pt idx="247">
                  <c:v>163.5324542608536</c:v>
                </c:pt>
                <c:pt idx="248">
                  <c:v>162.7222595822743</c:v>
                </c:pt>
                <c:pt idx="249">
                  <c:v>161.862816580184</c:v>
                </c:pt>
                <c:pt idx="250">
                  <c:v>160.9546681043468</c:v>
                </c:pt>
                <c:pt idx="251">
                  <c:v>159.9983877683529</c:v>
                </c:pt>
                <c:pt idx="252">
                  <c:v>158.994579587307</c:v>
                </c:pt>
                <c:pt idx="253">
                  <c:v>157.9438775963144</c:v>
                </c:pt>
                <c:pt idx="254">
                  <c:v>156.8469454500058</c:v>
                </c:pt>
                <c:pt idx="255">
                  <c:v>155.704476003353</c:v>
                </c:pt>
                <c:pt idx="256">
                  <c:v>154.517190874041</c:v>
                </c:pt>
                <c:pt idx="257">
                  <c:v>153.2858399866734</c:v>
                </c:pt>
                <c:pt idx="258">
                  <c:v>152.011201099097</c:v>
                </c:pt>
                <c:pt idx="259">
                  <c:v>150.6940793111474</c:v>
                </c:pt>
                <c:pt idx="260">
                  <c:v>149.3353065561235</c:v>
                </c:pt>
                <c:pt idx="261">
                  <c:v>147.9357410753139</c:v>
                </c:pt>
                <c:pt idx="262">
                  <c:v>146.4962668759064</c:v>
                </c:pt>
                <c:pt idx="263">
                  <c:v>145.0177931726224</c:v>
                </c:pt>
                <c:pt idx="264">
                  <c:v>143.50125381343</c:v>
                </c:pt>
                <c:pt idx="265">
                  <c:v>141.9476066896977</c:v>
                </c:pt>
                <c:pt idx="266">
                  <c:v>140.3578331311622</c:v>
                </c:pt>
                <c:pt idx="267">
                  <c:v>138.7329372860907</c:v>
                </c:pt>
                <c:pt idx="268">
                  <c:v>137.0739454870315</c:v>
                </c:pt>
                <c:pt idx="269">
                  <c:v>135.3819056025513</c:v>
                </c:pt>
                <c:pt idx="270">
                  <c:v>133.6578863753709</c:v>
                </c:pt>
                <c:pt idx="271">
                  <c:v>131.902976747315</c:v>
                </c:pt>
                <c:pt idx="272">
                  <c:v>130.1182851715043</c:v>
                </c:pt>
                <c:pt idx="273">
                  <c:v>128.3049389122237</c:v>
                </c:pt>
                <c:pt idx="274">
                  <c:v>126.4640833329086</c:v>
                </c:pt>
                <c:pt idx="275">
                  <c:v>124.5968811726988</c:v>
                </c:pt>
                <c:pt idx="276">
                  <c:v>122.7045118120186</c:v>
                </c:pt>
                <c:pt idx="277">
                  <c:v>120.7881705276446</c:v>
                </c:pt>
                <c:pt idx="278">
                  <c:v>118.8490677377334</c:v>
                </c:pt>
                <c:pt idx="279">
                  <c:v>116.8884282372858</c:v>
                </c:pt>
                <c:pt idx="280">
                  <c:v>114.9074904245293</c:v>
                </c:pt>
                <c:pt idx="281">
                  <c:v>112.9075055187092</c:v>
                </c:pt>
                <c:pt idx="282">
                  <c:v>110.8897367697816</c:v>
                </c:pt>
                <c:pt idx="283">
                  <c:v>108.8554586605068</c:v>
                </c:pt>
                <c:pt idx="284">
                  <c:v>106.8059561014479</c:v>
                </c:pt>
                <c:pt idx="285">
                  <c:v>104.7425236193836</c:v>
                </c:pt>
                <c:pt idx="286">
                  <c:v>102.6664645396464</c:v>
                </c:pt>
                <c:pt idx="287">
                  <c:v>100.5790901629031</c:v>
                </c:pt>
                <c:pt idx="288">
                  <c:v>98.48171893689901</c:v>
                </c:pt>
                <c:pt idx="289">
                  <c:v>96.37567562368666</c:v>
                </c:pt>
                <c:pt idx="290">
                  <c:v>94.26229046286678</c:v>
                </c:pt>
                <c:pt idx="291">
                  <c:v>92.14289833136951</c:v>
                </c:pt>
                <c:pt idx="292">
                  <c:v>90.01883790030621</c:v>
                </c:pt>
                <c:pt idx="293">
                  <c:v>87.8914507894253</c:v>
                </c:pt>
                <c:pt idx="294">
                  <c:v>85.76208071970495</c:v>
                </c:pt>
                <c:pt idx="295">
                  <c:v>83.6320726646192</c:v>
                </c:pt>
                <c:pt idx="296">
                  <c:v>81.50277200061261</c:v>
                </c:pt>
                <c:pt idx="297">
                  <c:v>79.37552365732051</c:v>
                </c:pt>
                <c:pt idx="298">
                  <c:v>77.25167126807137</c:v>
                </c:pt>
                <c:pt idx="299">
                  <c:v>75.13255632120815</c:v>
                </c:pt>
                <c:pt idx="300">
                  <c:v>73.01951731276421</c:v>
                </c:pt>
                <c:pt idx="301">
                  <c:v>70.91388890102954</c:v>
                </c:pt>
                <c:pt idx="302">
                  <c:v>68.81700106354073</c:v>
                </c:pt>
                <c:pt idx="303">
                  <c:v>66.73017825702777</c:v>
                </c:pt>
                <c:pt idx="304">
                  <c:v>64.65473858084769</c:v>
                </c:pt>
                <c:pt idx="305">
                  <c:v>62.5919929444338</c:v>
                </c:pt>
                <c:pt idx="306">
                  <c:v>60.54324423928632</c:v>
                </c:pt>
                <c:pt idx="307">
                  <c:v>58.5097865160273</c:v>
                </c:pt>
                <c:pt idx="308">
                  <c:v>56.49290416703985</c:v>
                </c:pt>
                <c:pt idx="309">
                  <c:v>54.49387111520765</c:v>
                </c:pt>
                <c:pt idx="310">
                  <c:v>52.51395000926733</c:v>
                </c:pt>
                <c:pt idx="311">
                  <c:v>50.55439142628208</c:v>
                </c:pt>
                <c:pt idx="312">
                  <c:v>48.61643308173983</c:v>
                </c:pt>
                <c:pt idx="313">
                  <c:v>46.7012990477755</c:v>
                </c:pt>
                <c:pt idx="314">
                  <c:v>44.81019898001045</c:v>
                </c:pt>
                <c:pt idx="315">
                  <c:v>42.94432735349815</c:v>
                </c:pt>
                <c:pt idx="316">
                  <c:v>41.10486270825818</c:v>
                </c:pt>
                <c:pt idx="317">
                  <c:v>39.2929669048752</c:v>
                </c:pt>
                <c:pt idx="318">
                  <c:v>37.50978439063341</c:v>
                </c:pt>
                <c:pt idx="319">
                  <c:v>35.75644147664944</c:v>
                </c:pt>
                <c:pt idx="320">
                  <c:v>34.03404562646084</c:v>
                </c:pt>
                <c:pt idx="321">
                  <c:v>32.34368475651916</c:v>
                </c:pt>
                <c:pt idx="322">
                  <c:v>30.68642654902955</c:v>
                </c:pt>
                <c:pt idx="323">
                  <c:v>29.06331777757091</c:v>
                </c:pt>
                <c:pt idx="324">
                  <c:v>27.47538364592256</c:v>
                </c:pt>
                <c:pt idx="325">
                  <c:v>25.92362714051506</c:v>
                </c:pt>
                <c:pt idx="326">
                  <c:v>24.40902839691414</c:v>
                </c:pt>
                <c:pt idx="327">
                  <c:v>22.93254408073791</c:v>
                </c:pt>
                <c:pt idx="328">
                  <c:v>21.4951067833984</c:v>
                </c:pt>
                <c:pt idx="329">
                  <c:v>20.09762443304911</c:v>
                </c:pt>
                <c:pt idx="330">
                  <c:v>18.74097972111055</c:v>
                </c:pt>
                <c:pt idx="331">
                  <c:v>17.42602954473609</c:v>
                </c:pt>
                <c:pt idx="332">
                  <c:v>16.15360446557025</c:v>
                </c:pt>
                <c:pt idx="333">
                  <c:v>14.92450818514126</c:v>
                </c:pt>
                <c:pt idx="334">
                  <c:v>13.73951703721921</c:v>
                </c:pt>
                <c:pt idx="335">
                  <c:v>12.59937949746064</c:v>
                </c:pt>
                <c:pt idx="336">
                  <c:v>11.50481571064897</c:v>
                </c:pt>
                <c:pt idx="337">
                  <c:v>10.4565170358297</c:v>
                </c:pt>
                <c:pt idx="338">
                  <c:v>9.45514560962742</c:v>
                </c:pt>
                <c:pt idx="339">
                  <c:v>8.501333928020667</c:v>
                </c:pt>
                <c:pt idx="340">
                  <c:v>7.595684446838612</c:v>
                </c:pt>
                <c:pt idx="341">
                  <c:v>6.738769201232058</c:v>
                </c:pt>
                <c:pt idx="342">
                  <c:v>5.93112944435903</c:v>
                </c:pt>
                <c:pt idx="343">
                  <c:v>5.17327530551316</c:v>
                </c:pt>
                <c:pt idx="344">
                  <c:v>4.465685467910879</c:v>
                </c:pt>
                <c:pt idx="345">
                  <c:v>3.808806866340828</c:v>
                </c:pt>
                <c:pt idx="346">
                  <c:v>3.203054404866581</c:v>
                </c:pt>
                <c:pt idx="347">
                  <c:v>2.648810694760872</c:v>
                </c:pt>
                <c:pt idx="348">
                  <c:v>2.146425812836955</c:v>
                </c:pt>
                <c:pt idx="349">
                  <c:v>1.696217080329661</c:v>
                </c:pt>
                <c:pt idx="350">
                  <c:v>1.298468862465874</c:v>
                </c:pt>
                <c:pt idx="351">
                  <c:v>0.953432388850996</c:v>
                </c:pt>
                <c:pt idx="352">
                  <c:v>0.661325594784851</c:v>
                </c:pt>
                <c:pt idx="353">
                  <c:v>0.422332983607271</c:v>
                </c:pt>
                <c:pt idx="354">
                  <c:v>0.236605510160297</c:v>
                </c:pt>
                <c:pt idx="355">
                  <c:v>0.104260485440612</c:v>
                </c:pt>
                <c:pt idx="356">
                  <c:v>0.0253815025024238</c:v>
                </c:pt>
                <c:pt idx="357">
                  <c:v>1.83836576066118E-5</c:v>
                </c:pt>
                <c:pt idx="358">
                  <c:v>0.0281871490064475</c:v>
                </c:pt>
                <c:pt idx="359">
                  <c:v>0.109870006318874</c:v>
                </c:pt>
                <c:pt idx="360">
                  <c:v>0.245015362272555</c:v>
                </c:pt>
                <c:pt idx="361">
                  <c:v>0.43353785504078</c:v>
                </c:pt>
                <c:pt idx="362">
                  <c:v>0.675318408209526</c:v>
                </c:pt>
                <c:pt idx="363">
                  <c:v>0.970204305989663</c:v>
                </c:pt>
                <c:pt idx="364">
                  <c:v>1.318009289676788</c:v>
                </c:pt>
                <c:pt idx="365">
                  <c:v>1.718513675297766</c:v>
                </c:pt>
                <c:pt idx="366">
                  <c:v>2.17146449236966</c:v>
                </c:pt>
                <c:pt idx="367">
                  <c:v>2.676575643683408</c:v>
                </c:pt>
                <c:pt idx="368">
                  <c:v>3.233528086011341</c:v>
                </c:pt>
                <c:pt idx="369">
                  <c:v>3.841970031624366</c:v>
                </c:pt>
                <c:pt idx="370">
                  <c:v>4.501517170491562</c:v>
                </c:pt>
                <c:pt idx="371">
                  <c:v>5.21175291302183</c:v>
                </c:pt>
                <c:pt idx="372">
                  <c:v>5.972228653194266</c:v>
                </c:pt>
                <c:pt idx="373">
                  <c:v>6.78246405191107</c:v>
                </c:pt>
                <c:pt idx="374">
                  <c:v>7.641947340394007</c:v>
                </c:pt>
                <c:pt idx="375">
                  <c:v>8.55013564343279</c:v>
                </c:pt>
                <c:pt idx="376">
                  <c:v>9.506455322281214</c:v>
                </c:pt>
                <c:pt idx="377">
                  <c:v>10.51030233698444</c:v>
                </c:pt>
                <c:pt idx="378">
                  <c:v>11.56104262790861</c:v>
                </c:pt>
                <c:pt idx="379">
                  <c:v>12.65801251623177</c:v>
                </c:pt>
                <c:pt idx="380">
                  <c:v>13.80051912314315</c:v>
                </c:pt>
                <c:pt idx="381">
                  <c:v>14.98784080748603</c:v>
                </c:pt>
                <c:pt idx="382">
                  <c:v>16.21922762156776</c:v>
                </c:pt>
                <c:pt idx="383">
                  <c:v>17.49390178484904</c:v>
                </c:pt>
                <c:pt idx="384">
                  <c:v>18.81105817521323</c:v>
                </c:pt>
                <c:pt idx="385">
                  <c:v>20.16986483750544</c:v>
                </c:pt>
                <c:pt idx="386">
                  <c:v>21.56946350902013</c:v>
                </c:pt>
                <c:pt idx="387">
                  <c:v>23.0089701616054</c:v>
                </c:pt>
                <c:pt idx="388">
                  <c:v>24.48747556004143</c:v>
                </c:pt>
                <c:pt idx="389">
                  <c:v>26.00404583634051</c:v>
                </c:pt>
                <c:pt idx="390">
                  <c:v>27.55772307960583</c:v>
                </c:pt>
                <c:pt idx="391">
                  <c:v>29.14752594107652</c:v>
                </c:pt>
                <c:pt idx="392">
                  <c:v>30.77245025397666</c:v>
                </c:pt>
                <c:pt idx="393">
                  <c:v>32.43146966777695</c:v>
                </c:pt>
                <c:pt idx="394">
                  <c:v>34.1235362964682</c:v>
                </c:pt>
                <c:pt idx="395">
                  <c:v>35.8475813804373</c:v>
                </c:pt>
                <c:pt idx="396">
                  <c:v>37.6025159615276</c:v>
                </c:pt>
                <c:pt idx="397">
                  <c:v>39.38723157085725</c:v>
                </c:pt>
                <c:pt idx="398">
                  <c:v>41.20060092896112</c:v>
                </c:pt>
                <c:pt idx="399">
                  <c:v>43.04147865781409</c:v>
                </c:pt>
                <c:pt idx="400">
                  <c:v>44.9087020042858</c:v>
                </c:pt>
                <c:pt idx="401">
                  <c:v>46.80109157457017</c:v>
                </c:pt>
                <c:pt idx="402">
                  <c:v>48.7174520791256</c:v>
                </c:pt>
                <c:pt idx="403">
                  <c:v>50.65657308765535</c:v>
                </c:pt>
                <c:pt idx="404">
                  <c:v>52.61722979365143</c:v>
                </c:pt>
                <c:pt idx="405">
                  <c:v>54.59818378801869</c:v>
                </c:pt>
                <c:pt idx="406">
                  <c:v>56.59818384129092</c:v>
                </c:pt>
                <c:pt idx="407">
                  <c:v>58.6159666939446</c:v>
                </c:pt>
                <c:pt idx="408">
                  <c:v>60.65025785431115</c:v>
                </c:pt>
                <c:pt idx="409">
                  <c:v>62.69977240358382</c:v>
                </c:pt>
                <c:pt idx="410">
                  <c:v>64.76321580741058</c:v>
                </c:pt>
                <c:pt idx="411">
                  <c:v>66.83928473356059</c:v>
                </c:pt>
                <c:pt idx="412">
                  <c:v>68.9266678751475</c:v>
                </c:pt>
                <c:pt idx="413">
                  <c:v>71.02404677889007</c:v>
                </c:pt>
                <c:pt idx="414">
                  <c:v>73.1300966778862</c:v>
                </c:pt>
                <c:pt idx="415">
                  <c:v>75.2434873283754</c:v>
                </c:pt>
                <c:pt idx="416">
                  <c:v>77.36288384996011</c:v>
                </c:pt>
                <c:pt idx="417">
                  <c:v>79.48694756875601</c:v>
                </c:pt>
                <c:pt idx="418">
                  <c:v>81.61433686293813</c:v>
                </c:pt>
                <c:pt idx="419">
                  <c:v>83.74370801014916</c:v>
                </c:pt>
                <c:pt idx="420">
                  <c:v>85.87371603623454</c:v>
                </c:pt>
                <c:pt idx="421">
                  <c:v>88.00301556476803</c:v>
                </c:pt>
                <c:pt idx="422">
                  <c:v>90.1302616668315</c:v>
                </c:pt>
                <c:pt idx="423">
                  <c:v>92.2541107105121</c:v>
                </c:pt>
                <c:pt idx="424">
                  <c:v>94.37322120958001</c:v>
                </c:pt>
                <c:pt idx="425">
                  <c:v>96.4862546708113</c:v>
                </c:pt>
                <c:pt idx="426">
                  <c:v>98.59187643941966</c:v>
                </c:pt>
                <c:pt idx="427">
                  <c:v>100.6887565420646</c:v>
                </c:pt>
                <c:pt idx="428">
                  <c:v>102.7755705269016</c:v>
                </c:pt>
                <c:pt idx="429">
                  <c:v>104.8510003001456</c:v>
                </c:pt>
                <c:pt idx="430">
                  <c:v>106.9137349586185</c:v>
                </c:pt>
                <c:pt idx="431">
                  <c:v>108.962471617754</c:v>
                </c:pt>
                <c:pt idx="432">
                  <c:v>110.9959162345385</c:v>
                </c:pt>
                <c:pt idx="433">
                  <c:v>113.0127844248675</c:v>
                </c:pt>
                <c:pt idx="434">
                  <c:v>115.0118022748003</c:v>
                </c:pt>
                <c:pt idx="435">
                  <c:v>116.9917071452023</c:v>
                </c:pt>
                <c:pt idx="436">
                  <c:v>118.9512484692651</c:v>
                </c:pt>
                <c:pt idx="437">
                  <c:v>120.8891885424019</c:v>
                </c:pt>
                <c:pt idx="438">
                  <c:v>122.8043033040188</c:v>
                </c:pt>
                <c:pt idx="439">
                  <c:v>124.6953831106673</c:v>
                </c:pt>
                <c:pt idx="440">
                  <c:v>126.5612335000913</c:v>
                </c:pt>
                <c:pt idx="441">
                  <c:v>128.4006759456854</c:v>
                </c:pt>
                <c:pt idx="442">
                  <c:v>130.2125486008868</c:v>
                </c:pt>
                <c:pt idx="443">
                  <c:v>131.9957070330325</c:v>
                </c:pt>
                <c:pt idx="444">
                  <c:v>133.7490249462168</c:v>
                </c:pt>
                <c:pt idx="445">
                  <c:v>135.4713948926933</c:v>
                </c:pt>
                <c:pt idx="446">
                  <c:v>137.161728972372</c:v>
                </c:pt>
                <c:pt idx="447">
                  <c:v>138.8189595199694</c:v>
                </c:pt>
                <c:pt idx="448">
                  <c:v>140.4420397793774</c:v>
                </c:pt>
                <c:pt idx="449">
                  <c:v>142.0299445648256</c:v>
                </c:pt>
                <c:pt idx="450">
                  <c:v>143.5816709084195</c:v>
                </c:pt>
                <c:pt idx="451">
                  <c:v>145.0962386936444</c:v>
                </c:pt>
                <c:pt idx="452">
                  <c:v>146.5726912744364</c:v>
                </c:pt>
                <c:pt idx="453">
                  <c:v>148.0100960794286</c:v>
                </c:pt>
                <c:pt idx="454">
                  <c:v>149.4075452009906</c:v>
                </c:pt>
                <c:pt idx="455">
                  <c:v>150.7641559686901</c:v>
                </c:pt>
                <c:pt idx="456">
                  <c:v>152.079071506814</c:v>
                </c:pt>
                <c:pt idx="457">
                  <c:v>153.3514612755963</c:v>
                </c:pt>
                <c:pt idx="458">
                  <c:v>154.5805215958118</c:v>
                </c:pt>
                <c:pt idx="459">
                  <c:v>155.765476156404</c:v>
                </c:pt>
                <c:pt idx="460">
                  <c:v>156.9055765048261</c:v>
                </c:pt>
                <c:pt idx="461">
                  <c:v>158.0001025197857</c:v>
                </c:pt>
                <c:pt idx="462">
                  <c:v>159.0483628660951</c:v>
                </c:pt>
                <c:pt idx="463">
                  <c:v>160.0496954313393</c:v>
                </c:pt>
                <c:pt idx="464">
                  <c:v>161.0034677440854</c:v>
                </c:pt>
                <c:pt idx="465">
                  <c:v>161.9090773733707</c:v>
                </c:pt>
                <c:pt idx="466">
                  <c:v>162.7659523092162</c:v>
                </c:pt>
                <c:pt idx="467">
                  <c:v>163.5735513239246</c:v>
                </c:pt>
                <c:pt idx="468">
                  <c:v>164.3313643139363</c:v>
                </c:pt>
                <c:pt idx="469">
                  <c:v>165.0389126220257</c:v>
                </c:pt>
                <c:pt idx="470">
                  <c:v>165.6957493396354</c:v>
                </c:pt>
                <c:pt idx="471">
                  <c:v>166.3014595891569</c:v>
                </c:pt>
                <c:pt idx="472">
                  <c:v>166.85566078598</c:v>
                </c:pt>
                <c:pt idx="473">
                  <c:v>167.3580028801439</c:v>
                </c:pt>
                <c:pt idx="474">
                  <c:v>167.8081685774398</c:v>
                </c:pt>
                <c:pt idx="475">
                  <c:v>168.2058735398232</c:v>
                </c:pt>
                <c:pt idx="476">
                  <c:v>168.5508665650103</c:v>
                </c:pt>
                <c:pt idx="477">
                  <c:v>168.8429297451443</c:v>
                </c:pt>
                <c:pt idx="478">
                  <c:v>169.0818786044335</c:v>
                </c:pt>
                <c:pt idx="479">
                  <c:v>169.2675622156706</c:v>
                </c:pt>
                <c:pt idx="480">
                  <c:v>169.3998632955638</c:v>
                </c:pt>
                <c:pt idx="481">
                  <c:v>169.4786982788156</c:v>
                </c:pt>
                <c:pt idx="482">
                  <c:v>169.5040173709058</c:v>
                </c:pt>
                <c:pt idx="483">
                  <c:v>169.4758045795425</c:v>
                </c:pt>
                <c:pt idx="484">
                  <c:v>169.3940777247642</c:v>
                </c:pt>
                <c:pt idx="485">
                  <c:v>169.258888427683</c:v>
                </c:pt>
                <c:pt idx="486">
                  <c:v>169.0703220778804</c:v>
                </c:pt>
                <c:pt idx="487">
                  <c:v>168.8284977794717</c:v>
                </c:pt>
                <c:pt idx="488">
                  <c:v>168.533568275877</c:v>
                </c:pt>
                <c:pt idx="489">
                  <c:v>168.1857198533431</c:v>
                </c:pt>
                <c:pt idx="490">
                  <c:v>167.7851722232807</c:v>
                </c:pt>
                <c:pt idx="491">
                  <c:v>167.3321783834871</c:v>
                </c:pt>
                <c:pt idx="492">
                  <c:v>166.8270244583458</c:v>
                </c:pt>
                <c:pt idx="493">
                  <c:v>166.2700295181017</c:v>
                </c:pt>
                <c:pt idx="494">
                  <c:v>165.6615453773267</c:v>
                </c:pt>
                <c:pt idx="495">
                  <c:v>165.0019563727038</c:v>
                </c:pt>
                <c:pt idx="496">
                  <c:v>164.2916791202674</c:v>
                </c:pt>
                <c:pt idx="497">
                  <c:v>163.5311622522575</c:v>
                </c:pt>
                <c:pt idx="498">
                  <c:v>162.7208861337493</c:v>
                </c:pt>
                <c:pt idx="499">
                  <c:v>161.8613625592411</c:v>
                </c:pt>
                <c:pt idx="500">
                  <c:v>160.9531344293887</c:v>
                </c:pt>
              </c:numCache>
            </c:numRef>
          </c:yVal>
          <c:smooth val="0"/>
        </c:ser>
        <c:ser>
          <c:idx val="1"/>
          <c:order val="1"/>
          <c:tx>
            <c:v>Potential Energy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Steps'!$F$1:$F$501</c:f>
              <c:numCache>
                <c:formatCode>General</c:formatCode>
                <c:ptCount val="501"/>
                <c:pt idx="0">
                  <c:v>0.0</c:v>
                </c:pt>
                <c:pt idx="1">
                  <c:v>10.0</c:v>
                </c:pt>
                <c:pt idx="2">
                  <c:v>11.02725906023784</c:v>
                </c:pt>
                <c:pt idx="3">
                  <c:v>12.10108487145338</c:v>
                </c:pt>
                <c:pt idx="4">
                  <c:v>13.22079917332335</c:v>
                </c:pt>
                <c:pt idx="5">
                  <c:v>14.38569472098887</c:v>
                </c:pt>
                <c:pt idx="6">
                  <c:v>15.59503573177227</c:v>
                </c:pt>
                <c:pt idx="7">
                  <c:v>16.84805834991937</c:v>
                </c:pt>
                <c:pt idx="8">
                  <c:v>18.14397112907346</c:v>
                </c:pt>
                <c:pt idx="9">
                  <c:v>19.48195553217637</c:v>
                </c:pt>
                <c:pt idx="10">
                  <c:v>20.86116644848083</c:v>
                </c:pt>
                <c:pt idx="11">
                  <c:v>22.28073272734757</c:v>
                </c:pt>
                <c:pt idx="12">
                  <c:v>23.73975772848992</c:v>
                </c:pt>
                <c:pt idx="13">
                  <c:v>25.23731988831856</c:v>
                </c:pt>
                <c:pt idx="14">
                  <c:v>26.77247330202842</c:v>
                </c:pt>
                <c:pt idx="15">
                  <c:v>28.34424832106037</c:v>
                </c:pt>
                <c:pt idx="16">
                  <c:v>29.95165216556004</c:v>
                </c:pt>
                <c:pt idx="17">
                  <c:v>31.59366955144708</c:v>
                </c:pt>
                <c:pt idx="18">
                  <c:v>33.26926333169888</c:v>
                </c:pt>
                <c:pt idx="19">
                  <c:v>34.97737515144338</c:v>
                </c:pt>
                <c:pt idx="20">
                  <c:v>36.71692611644753</c:v>
                </c:pt>
                <c:pt idx="21">
                  <c:v>38.48681747457901</c:v>
                </c:pt>
                <c:pt idx="22">
                  <c:v>40.2859313098107</c:v>
                </c:pt>
                <c:pt idx="23">
                  <c:v>42.11313124832972</c:v>
                </c:pt>
                <c:pt idx="24">
                  <c:v>43.96726317630497</c:v>
                </c:pt>
                <c:pt idx="25">
                  <c:v>45.84715596885967</c:v>
                </c:pt>
                <c:pt idx="26">
                  <c:v>47.75162222978874</c:v>
                </c:pt>
                <c:pt idx="27">
                  <c:v>49.67945904155354</c:v>
                </c:pt>
                <c:pt idx="28">
                  <c:v>51.6294487250804</c:v>
                </c:pt>
                <c:pt idx="29">
                  <c:v>53.60035960888282</c:v>
                </c:pt>
                <c:pt idx="30">
                  <c:v>55.590946807022</c:v>
                </c:pt>
                <c:pt idx="31">
                  <c:v>57.59995300541365</c:v>
                </c:pt>
                <c:pt idx="32">
                  <c:v>59.62610925598512</c:v>
                </c:pt>
                <c:pt idx="33">
                  <c:v>61.66813577818065</c:v>
                </c:pt>
                <c:pt idx="34">
                  <c:v>63.72474276730887</c:v>
                </c:pt>
                <c:pt idx="35">
                  <c:v>65.79463120922176</c:v>
                </c:pt>
                <c:pt idx="36">
                  <c:v>67.87649370081073</c:v>
                </c:pt>
                <c:pt idx="37">
                  <c:v>69.9690152758012</c:v>
                </c:pt>
                <c:pt idx="38">
                  <c:v>72.07087423532445</c:v>
                </c:pt>
                <c:pt idx="39">
                  <c:v>74.180742982742</c:v>
                </c:pt>
                <c:pt idx="40">
                  <c:v>76.29728886219504</c:v>
                </c:pt>
                <c:pt idx="41">
                  <c:v>78.41917500034956</c:v>
                </c:pt>
                <c:pt idx="42">
                  <c:v>80.54506115080537</c:v>
                </c:pt>
                <c:pt idx="43">
                  <c:v>82.67360454063544</c:v>
                </c:pt>
                <c:pt idx="44">
                  <c:v>84.80346071852136</c:v>
                </c:pt>
                <c:pt idx="45">
                  <c:v>86.9332844039487</c:v>
                </c:pt>
                <c:pt idx="46">
                  <c:v>89.06173033692633</c:v>
                </c:pt>
                <c:pt idx="47">
                  <c:v>91.18745412769243</c:v>
                </c:pt>
                <c:pt idx="48">
                  <c:v>93.30911310587123</c:v>
                </c:pt>
                <c:pt idx="49">
                  <c:v>95.42536716854346</c:v>
                </c:pt>
                <c:pt idx="50">
                  <c:v>97.53487962669533</c:v>
                </c:pt>
                <c:pt idx="51">
                  <c:v>99.63631804951092</c:v>
                </c:pt>
                <c:pt idx="52">
                  <c:v>101.7283551059752</c:v>
                </c:pt>
                <c:pt idx="53">
                  <c:v>103.8096694032559</c:v>
                </c:pt>
                <c:pt idx="54">
                  <c:v>105.8789463213341</c:v>
                </c:pt>
                <c:pt idx="55">
                  <c:v>107.9348788433579</c:v>
                </c:pt>
                <c:pt idx="56">
                  <c:v>109.9761683811928</c:v>
                </c:pt>
                <c:pt idx="57">
                  <c:v>112.0015255956487</c:v>
                </c:pt>
                <c:pt idx="58">
                  <c:v>114.0096712108648</c:v>
                </c:pt>
                <c:pt idx="59">
                  <c:v>115.9993368223383</c:v>
                </c:pt>
                <c:pt idx="60">
                  <c:v>117.9692656980865</c:v>
                </c:pt>
                <c:pt idx="61">
                  <c:v>119.9182135724362</c:v>
                </c:pt>
                <c:pt idx="62">
                  <c:v>121.8449494319385</c:v>
                </c:pt>
                <c:pt idx="63">
                  <c:v>123.7482562929138</c:v>
                </c:pt>
                <c:pt idx="64">
                  <c:v>125.6269319701351</c:v>
                </c:pt>
                <c:pt idx="65">
                  <c:v>127.4797898361636</c:v>
                </c:pt>
                <c:pt idx="66">
                  <c:v>129.3056595708579</c:v>
                </c:pt>
                <c:pt idx="67">
                  <c:v>131.1033879005831</c:v>
                </c:pt>
                <c:pt idx="68">
                  <c:v>132.8718393266529</c:v>
                </c:pt>
                <c:pt idx="69">
                  <c:v>134.6098968425441</c:v>
                </c:pt>
                <c:pt idx="70">
                  <c:v>136.3164626394313</c:v>
                </c:pt>
                <c:pt idx="71">
                  <c:v>137.9904587995954</c:v>
                </c:pt>
                <c:pt idx="72">
                  <c:v>139.6308279772687</c:v>
                </c:pt>
                <c:pt idx="73">
                  <c:v>141.236534066486</c:v>
                </c:pt>
                <c:pt idx="74">
                  <c:v>142.8065628555196</c:v>
                </c:pt>
                <c:pt idx="75">
                  <c:v>144.3399226674861</c:v>
                </c:pt>
                <c:pt idx="76">
                  <c:v>145.8356449867183</c:v>
                </c:pt>
                <c:pt idx="77">
                  <c:v>147.2927850705095</c:v>
                </c:pt>
                <c:pt idx="78">
                  <c:v>148.71042254584</c:v>
                </c:pt>
                <c:pt idx="79">
                  <c:v>150.0876619907129</c:v>
                </c:pt>
                <c:pt idx="80">
                  <c:v>151.4236334997289</c:v>
                </c:pt>
                <c:pt idx="81">
                  <c:v>152.7174932335446</c:v>
                </c:pt>
                <c:pt idx="82">
                  <c:v>153.9684239518662</c:v>
                </c:pt>
                <c:pt idx="83">
                  <c:v>155.1756355296433</c:v>
                </c:pt>
                <c:pt idx="84">
                  <c:v>156.3383654561349</c:v>
                </c:pt>
                <c:pt idx="85">
                  <c:v>157.455879316534</c:v>
                </c:pt>
                <c:pt idx="86">
                  <c:v>158.527471255846</c:v>
                </c:pt>
                <c:pt idx="87">
                  <c:v>159.5524644247276</c:v>
                </c:pt>
                <c:pt idx="88">
                  <c:v>160.5302114070051</c:v>
                </c:pt>
                <c:pt idx="89">
                  <c:v>161.4600946286013</c:v>
                </c:pt>
                <c:pt idx="90">
                  <c:v>162.3415267476142</c:v>
                </c:pt>
                <c:pt idx="91">
                  <c:v>163.1739510252993</c:v>
                </c:pt>
                <c:pt idx="92">
                  <c:v>163.9568416777223</c:v>
                </c:pt>
                <c:pt idx="93">
                  <c:v>164.6897042078601</c:v>
                </c:pt>
                <c:pt idx="94">
                  <c:v>165.3720757179399</c:v>
                </c:pt>
                <c:pt idx="95">
                  <c:v>166.0035252018186</c:v>
                </c:pt>
                <c:pt idx="96">
                  <c:v>166.5836538172199</c:v>
                </c:pt>
                <c:pt idx="97">
                  <c:v>167.1120951376544</c:v>
                </c:pt>
                <c:pt idx="98">
                  <c:v>167.5885153838656</c:v>
                </c:pt>
                <c:pt idx="99">
                  <c:v>168.012613634655</c:v>
                </c:pt>
                <c:pt idx="100">
                  <c:v>168.3841220169525</c:v>
                </c:pt>
                <c:pt idx="101">
                  <c:v>168.7028058750133</c:v>
                </c:pt>
                <c:pt idx="102">
                  <c:v>168.9684639186336</c:v>
                </c:pt>
                <c:pt idx="103">
                  <c:v>169.1809283502911</c:v>
                </c:pt>
                <c:pt idx="104">
                  <c:v>169.3400649711308</c:v>
                </c:pt>
                <c:pt idx="105">
                  <c:v>169.4457732657297</c:v>
                </c:pt>
                <c:pt idx="106">
                  <c:v>169.4979864655843</c:v>
                </c:pt>
                <c:pt idx="107">
                  <c:v>169.4966715912849</c:v>
                </c:pt>
                <c:pt idx="108">
                  <c:v>169.441829473345</c:v>
                </c:pt>
                <c:pt idx="109">
                  <c:v>169.3334947516776</c:v>
                </c:pt>
                <c:pt idx="110">
                  <c:v>169.1717358537153</c:v>
                </c:pt>
                <c:pt idx="111">
                  <c:v>168.9566549511895</c:v>
                </c:pt>
                <c:pt idx="112">
                  <c:v>168.688387895596</c:v>
                </c:pt>
                <c:pt idx="113">
                  <c:v>168.3671041323865</c:v>
                </c:pt>
                <c:pt idx="114">
                  <c:v>167.9930065939424</c:v>
                </c:pt>
                <c:pt idx="115">
                  <c:v>167.5663315713967</c:v>
                </c:pt>
                <c:pt idx="116">
                  <c:v>167.087348565385</c:v>
                </c:pt>
                <c:pt idx="117">
                  <c:v>166.5563601158211</c:v>
                </c:pt>
                <c:pt idx="118">
                  <c:v>165.973701610804</c:v>
                </c:pt>
                <c:pt idx="119">
                  <c:v>165.3397410747767</c:v>
                </c:pt>
                <c:pt idx="120">
                  <c:v>164.6548789360708</c:v>
                </c:pt>
                <c:pt idx="121">
                  <c:v>163.9195477739843</c:v>
                </c:pt>
                <c:pt idx="122">
                  <c:v>163.1342120455515</c:v>
                </c:pt>
                <c:pt idx="123">
                  <c:v>162.2993677921784</c:v>
                </c:pt>
                <c:pt idx="124">
                  <c:v>161.4155423263278</c:v>
                </c:pt>
                <c:pt idx="125">
                  <c:v>160.4832938984531</c:v>
                </c:pt>
                <c:pt idx="126">
                  <c:v>159.5032113443911</c:v>
                </c:pt>
                <c:pt idx="127">
                  <c:v>158.4759137134355</c:v>
                </c:pt>
                <c:pt idx="128">
                  <c:v>157.4020498773269</c:v>
                </c:pt>
                <c:pt idx="129">
                  <c:v>156.2822981204062</c:v>
                </c:pt>
                <c:pt idx="130">
                  <c:v>155.11736571119</c:v>
                </c:pt>
                <c:pt idx="131">
                  <c:v>153.9079884556388</c:v>
                </c:pt>
                <c:pt idx="132">
                  <c:v>152.6549302324001</c:v>
                </c:pt>
                <c:pt idx="133">
                  <c:v>151.3589825103199</c:v>
                </c:pt>
                <c:pt idx="134">
                  <c:v>150.0209638485272</c:v>
                </c:pt>
                <c:pt idx="135">
                  <c:v>148.6417193794082</c:v>
                </c:pt>
                <c:pt idx="136">
                  <c:v>147.2221202747951</c:v>
                </c:pt>
                <c:pt idx="137">
                  <c:v>145.7630631957083</c:v>
                </c:pt>
                <c:pt idx="138">
                  <c:v>144.2654697259985</c:v>
                </c:pt>
                <c:pt idx="139">
                  <c:v>142.7302857902469</c:v>
                </c:pt>
                <c:pt idx="140">
                  <c:v>141.1584810562914</c:v>
                </c:pt>
                <c:pt idx="141">
                  <c:v>139.5510483227552</c:v>
                </c:pt>
                <c:pt idx="142">
                  <c:v>137.9090028919658</c:v>
                </c:pt>
                <c:pt idx="143">
                  <c:v>136.2333819286598</c:v>
                </c:pt>
                <c:pt idx="144">
                  <c:v>134.5252438048789</c:v>
                </c:pt>
                <c:pt idx="145">
                  <c:v>132.7856674314705</c:v>
                </c:pt>
                <c:pt idx="146">
                  <c:v>131.0157515766157</c:v>
                </c:pt>
                <c:pt idx="147">
                  <c:v>129.2166141718144</c:v>
                </c:pt>
                <c:pt idx="148">
                  <c:v>127.3893916057668</c:v>
                </c:pt>
                <c:pt idx="149">
                  <c:v>125.5352380065961</c:v>
                </c:pt>
                <c:pt idx="150">
                  <c:v>123.6553245128675</c:v>
                </c:pt>
                <c:pt idx="151">
                  <c:v>121.7508385338613</c:v>
                </c:pt>
                <c:pt idx="152">
                  <c:v>119.8229829995707</c:v>
                </c:pt>
                <c:pt idx="153">
                  <c:v>117.8729756008953</c:v>
                </c:pt>
                <c:pt idx="154">
                  <c:v>115.9020480205107</c:v>
                </c:pt>
                <c:pt idx="155">
                  <c:v>113.911445154902</c:v>
                </c:pt>
                <c:pt idx="156">
                  <c:v>111.9024243280493</c:v>
                </c:pt>
                <c:pt idx="157">
                  <c:v>109.8762544972653</c:v>
                </c:pt>
                <c:pt idx="158">
                  <c:v>107.8342154516832</c:v>
                </c:pt>
                <c:pt idx="159">
                  <c:v>105.7775970039047</c:v>
                </c:pt>
                <c:pt idx="160">
                  <c:v>103.7076981753152</c:v>
                </c:pt>
                <c:pt idx="161">
                  <c:v>101.6258263755841</c:v>
                </c:pt>
                <c:pt idx="162">
                  <c:v>99.5332965768651</c:v>
                </c:pt>
                <c:pt idx="163">
                  <c:v>97.4314304832213</c:v>
                </c:pt>
                <c:pt idx="164">
                  <c:v>95.3215556957973</c:v>
                </c:pt>
                <c:pt idx="165">
                  <c:v>93.20500487426704</c:v>
                </c:pt>
                <c:pt idx="166">
                  <c:v>91.083114895086</c:v>
                </c:pt>
                <c:pt idx="167">
                  <c:v>88.95722600708052</c:v>
                </c:pt>
                <c:pt idx="168">
                  <c:v>86.82868098490673</c:v>
                </c:pt>
                <c:pt idx="169">
                  <c:v>84.69882428091406</c:v>
                </c:pt>
                <c:pt idx="170">
                  <c:v>82.56900117594924</c:v>
                </c:pt>
                <c:pt idx="171">
                  <c:v>80.44055692963686</c:v>
                </c:pt>
                <c:pt idx="172">
                  <c:v>78.3148359306733</c:v>
                </c:pt>
                <c:pt idx="173">
                  <c:v>76.19318084767094</c:v>
                </c:pt>
                <c:pt idx="174">
                  <c:v>74.07693178108876</c:v>
                </c:pt>
                <c:pt idx="175">
                  <c:v>71.96742541678491</c:v>
                </c:pt>
                <c:pt idx="176">
                  <c:v>69.86599418172618</c:v>
                </c:pt>
                <c:pt idx="177">
                  <c:v>67.77396540238765</c:v>
                </c:pt>
                <c:pt idx="178">
                  <c:v>65.69266046637358</c:v>
                </c:pt>
                <c:pt idx="179">
                  <c:v>63.62339398778988</c:v>
                </c:pt>
                <c:pt idx="180">
                  <c:v>61.56747297689462</c:v>
                </c:pt>
                <c:pt idx="181">
                  <c:v>59.52619601455154</c:v>
                </c:pt>
                <c:pt idx="182">
                  <c:v>57.50085243200772</c:v>
                </c:pt>
                <c:pt idx="183">
                  <c:v>55.49272149651362</c:v>
                </c:pt>
                <c:pt idx="184">
                  <c:v>53.50307160329984</c:v>
                </c:pt>
                <c:pt idx="185">
                  <c:v>51.53315947442096</c:v>
                </c:pt>
                <c:pt idx="186">
                  <c:v>49.58422936497249</c:v>
                </c:pt>
                <c:pt idx="187">
                  <c:v>47.65751227718238</c:v>
                </c:pt>
                <c:pt idx="188">
                  <c:v>45.75422518287336</c:v>
                </c:pt>
                <c:pt idx="189">
                  <c:v>43.87557025478738</c:v>
                </c:pt>
                <c:pt idx="190">
                  <c:v>42.0227341072575</c:v>
                </c:pt>
                <c:pt idx="191">
                  <c:v>40.19688704670696</c:v>
                </c:pt>
                <c:pt idx="192">
                  <c:v>38.39918233244897</c:v>
                </c:pt>
                <c:pt idx="193">
                  <c:v>36.63075544825367</c:v>
                </c:pt>
                <c:pt idx="194">
                  <c:v>34.89272338514284</c:v>
                </c:pt>
                <c:pt idx="195">
                  <c:v>33.18618393586525</c:v>
                </c:pt>
                <c:pt idx="196">
                  <c:v>31.51221500149796</c:v>
                </c:pt>
                <c:pt idx="197">
                  <c:v>29.87187391061202</c:v>
                </c:pt>
                <c:pt idx="198">
                  <c:v>28.26619675143229</c:v>
                </c:pt>
                <c:pt idx="199">
                  <c:v>26.69619771741328</c:v>
                </c:pt>
                <c:pt idx="200">
                  <c:v>25.16286846664442</c:v>
                </c:pt>
                <c:pt idx="201">
                  <c:v>23.66717749548928</c:v>
                </c:pt>
                <c:pt idx="202">
                  <c:v>22.21006952685448</c:v>
                </c:pt>
                <c:pt idx="203">
                  <c:v>20.7924649134746</c:v>
                </c:pt>
                <c:pt idx="204">
                  <c:v>19.41525905659001</c:v>
                </c:pt>
                <c:pt idx="205">
                  <c:v>18.07932184038485</c:v>
                </c:pt>
                <c:pt idx="206">
                  <c:v>16.78549708254223</c:v>
                </c:pt>
                <c:pt idx="207">
                  <c:v>15.53460200126396</c:v>
                </c:pt>
                <c:pt idx="208">
                  <c:v>14.32742669909118</c:v>
                </c:pt>
                <c:pt idx="209">
                  <c:v>13.16473366385209</c:v>
                </c:pt>
                <c:pt idx="210">
                  <c:v>12.04725728705199</c:v>
                </c:pt>
                <c:pt idx="211">
                  <c:v>10.97570340000973</c:v>
                </c:pt>
                <c:pt idx="212">
                  <c:v>9.950748828033685</c:v>
                </c:pt>
                <c:pt idx="213">
                  <c:v>8.973040962918727</c:v>
                </c:pt>
                <c:pt idx="214">
                  <c:v>8.043197354034326</c:v>
                </c:pt>
                <c:pt idx="215">
                  <c:v>7.161805318261996</c:v>
                </c:pt>
                <c:pt idx="216">
                  <c:v>6.329421569028489</c:v>
                </c:pt>
                <c:pt idx="217">
                  <c:v>5.546571864669028</c:v>
                </c:pt>
                <c:pt idx="218">
                  <c:v>4.813750676342702</c:v>
                </c:pt>
                <c:pt idx="219">
                  <c:v>4.131420875709786</c:v>
                </c:pt>
                <c:pt idx="220">
                  <c:v>3.500013442568219</c:v>
                </c:pt>
                <c:pt idx="221">
                  <c:v>2.919927192633948</c:v>
                </c:pt>
                <c:pt idx="222">
                  <c:v>2.391528525637068</c:v>
                </c:pt>
                <c:pt idx="223">
                  <c:v>1.91515119389284</c:v>
                </c:pt>
                <c:pt idx="224">
                  <c:v>1.49109609149381</c:v>
                </c:pt>
                <c:pt idx="225">
                  <c:v>1.119631064256149</c:v>
                </c:pt>
                <c:pt idx="226">
                  <c:v>0.800990740540265</c:v>
                </c:pt>
                <c:pt idx="227">
                  <c:v>0.535376383052555</c:v>
                </c:pt>
                <c:pt idx="228">
                  <c:v>0.322955761721892</c:v>
                </c:pt>
                <c:pt idx="229">
                  <c:v>0.163863047731149</c:v>
                </c:pt>
                <c:pt idx="230">
                  <c:v>0.0581987287706845</c:v>
                </c:pt>
                <c:pt idx="231">
                  <c:v>0.00602954556733379</c:v>
                </c:pt>
                <c:pt idx="232">
                  <c:v>0.00738844972897726</c:v>
                </c:pt>
                <c:pt idx="233">
                  <c:v>0.0622745829313259</c:v>
                </c:pt>
                <c:pt idx="234">
                  <c:v>0.170653277460064</c:v>
                </c:pt>
                <c:pt idx="235">
                  <c:v>0.33245607810801</c:v>
                </c:pt>
                <c:pt idx="236">
                  <c:v>0.547580785413459</c:v>
                </c:pt>
                <c:pt idx="237">
                  <c:v>0.815891520212405</c:v>
                </c:pt>
                <c:pt idx="238">
                  <c:v>1.137218809463861</c:v>
                </c:pt>
                <c:pt idx="239">
                  <c:v>1.511359693294075</c:v>
                </c:pt>
                <c:pt idx="240">
                  <c:v>1.938077853192021</c:v>
                </c:pt>
                <c:pt idx="241">
                  <c:v>2.4171037612752</c:v>
                </c:pt>
                <c:pt idx="242">
                  <c:v>2.948134850531467</c:v>
                </c:pt>
                <c:pt idx="243">
                  <c:v>3.530835705929361</c:v>
                </c:pt>
                <c:pt idx="244">
                  <c:v>4.164838276276209</c:v>
                </c:pt>
                <c:pt idx="245">
                  <c:v>4.849742106690208</c:v>
                </c:pt>
                <c:pt idx="246">
                  <c:v>5.585114591539646</c:v>
                </c:pt>
                <c:pt idx="247">
                  <c:v>6.370491247689478</c:v>
                </c:pt>
                <c:pt idx="248">
                  <c:v>7.205376007882698</c:v>
                </c:pt>
                <c:pt idx="249">
                  <c:v>8.089241534071167</c:v>
                </c:pt>
                <c:pt idx="250">
                  <c:v>9.021529550498017</c:v>
                </c:pt>
                <c:pt idx="251">
                  <c:v>10.00165119632122</c:v>
                </c:pt>
                <c:pt idx="252">
                  <c:v>11.02898739755561</c:v>
                </c:pt>
                <c:pt idx="253">
                  <c:v>12.10288925809843</c:v>
                </c:pt>
                <c:pt idx="254">
                  <c:v>13.22267846959141</c:v>
                </c:pt>
                <c:pt idx="255">
                  <c:v>14.38764773986051</c:v>
                </c:pt>
                <c:pt idx="256">
                  <c:v>15.59706123966269</c:v>
                </c:pt>
                <c:pt idx="257">
                  <c:v>16.85015506745753</c:v>
                </c:pt>
                <c:pt idx="258">
                  <c:v>18.1461377319102</c:v>
                </c:pt>
                <c:pt idx="259">
                  <c:v>19.4841906518209</c:v>
                </c:pt>
                <c:pt idx="260">
                  <c:v>20.86346867316509</c:v>
                </c:pt>
                <c:pt idx="261">
                  <c:v>22.28310060291797</c:v>
                </c:pt>
                <c:pt idx="262">
                  <c:v>23.74218975932582</c:v>
                </c:pt>
                <c:pt idx="263">
                  <c:v>25.23981453827694</c:v>
                </c:pt>
                <c:pt idx="264">
                  <c:v>26.77502899541417</c:v>
                </c:pt>
                <c:pt idx="265">
                  <c:v>28.34686344362153</c:v>
                </c:pt>
                <c:pt idx="266">
                  <c:v>29.9543250655074</c:v>
                </c:pt>
                <c:pt idx="267">
                  <c:v>31.59639854049754</c:v>
                </c:pt>
                <c:pt idx="268">
                  <c:v>33.27204668614176</c:v>
                </c:pt>
                <c:pt idx="269">
                  <c:v>34.98021111322924</c:v>
                </c:pt>
                <c:pt idx="270">
                  <c:v>36.71981289429856</c:v>
                </c:pt>
                <c:pt idx="271">
                  <c:v>38.48975324512044</c:v>
                </c:pt>
                <c:pt idx="272">
                  <c:v>40.28891421872254</c:v>
                </c:pt>
                <c:pt idx="273">
                  <c:v>42.11615941151797</c:v>
                </c:pt>
                <c:pt idx="274">
                  <c:v>43.97033468109168</c:v>
                </c:pt>
                <c:pt idx="275">
                  <c:v>45.85026887519107</c:v>
                </c:pt>
                <c:pt idx="276">
                  <c:v>47.7547745714606</c:v>
                </c:pt>
                <c:pt idx="277">
                  <c:v>49.68264882745311</c:v>
                </c:pt>
                <c:pt idx="278">
                  <c:v>51.63267394044397</c:v>
                </c:pt>
                <c:pt idx="279">
                  <c:v>53.60361821656848</c:v>
                </c:pt>
                <c:pt idx="280">
                  <c:v>55.59423674879618</c:v>
                </c:pt>
                <c:pt idx="281">
                  <c:v>57.6032722032513</c:v>
                </c:pt>
                <c:pt idx="282">
                  <c:v>59.62945561338213</c:v>
                </c:pt>
                <c:pt idx="283">
                  <c:v>61.67150718147817</c:v>
                </c:pt>
                <c:pt idx="284">
                  <c:v>63.72813708702827</c:v>
                </c:pt>
                <c:pt idx="285">
                  <c:v>65.79804630140977</c:v>
                </c:pt>
                <c:pt idx="286">
                  <c:v>67.87992740839353</c:v>
                </c:pt>
                <c:pt idx="287">
                  <c:v>69.97246542994693</c:v>
                </c:pt>
                <c:pt idx="288">
                  <c:v>72.07433865681315</c:v>
                </c:pt>
                <c:pt idx="289">
                  <c:v>74.184219483342</c:v>
                </c:pt>
                <c:pt idx="290">
                  <c:v>76.30077524604513</c:v>
                </c:pt>
                <c:pt idx="291">
                  <c:v>78.422669065346</c:v>
                </c:pt>
                <c:pt idx="292">
                  <c:v>80.5485606899928</c:v>
                </c:pt>
                <c:pt idx="293">
                  <c:v>82.67710734360081</c:v>
                </c:pt>
                <c:pt idx="294">
                  <c:v>84.80696457279011</c:v>
                </c:pt>
                <c:pt idx="295">
                  <c:v>86.93678709638228</c:v>
                </c:pt>
                <c:pt idx="296">
                  <c:v>89.06522965511997</c:v>
                </c:pt>
                <c:pt idx="297">
                  <c:v>91.1909478613727</c:v>
                </c:pt>
                <c:pt idx="298">
                  <c:v>93.31259904829202</c:v>
                </c:pt>
                <c:pt idx="299">
                  <c:v>95.42884311787986</c:v>
                </c:pt>
                <c:pt idx="300">
                  <c:v>97.53834338743434</c:v>
                </c:pt>
                <c:pt idx="301">
                  <c:v>99.63976743383824</c:v>
                </c:pt>
                <c:pt idx="302">
                  <c:v>101.7317879351571</c:v>
                </c:pt>
                <c:pt idx="303">
                  <c:v>103.8130835090152</c:v>
                </c:pt>
                <c:pt idx="304">
                  <c:v>105.8823395472203</c:v>
                </c:pt>
                <c:pt idx="305">
                  <c:v>107.9382490461084</c:v>
                </c:pt>
                <c:pt idx="306">
                  <c:v>109.9795134320874</c:v>
                </c:pt>
                <c:pt idx="307">
                  <c:v>112.0048433818537</c:v>
                </c:pt>
                <c:pt idx="308">
                  <c:v>114.0129596367678</c:v>
                </c:pt>
                <c:pt idx="309">
                  <c:v>116.0025938108717</c:v>
                </c:pt>
                <c:pt idx="310">
                  <c:v>117.9724891920395</c:v>
                </c:pt>
                <c:pt idx="311">
                  <c:v>119.921401535754</c:v>
                </c:pt>
                <c:pt idx="312">
                  <c:v>121.8480998510087</c:v>
                </c:pt>
                <c:pt idx="313">
                  <c:v>123.751367177838</c:v>
                </c:pt>
                <c:pt idx="314">
                  <c:v>125.6300013559859</c:v>
                </c:pt>
                <c:pt idx="315">
                  <c:v>127.4828157842256</c:v>
                </c:pt>
                <c:pt idx="316">
                  <c:v>129.3086401698522</c:v>
                </c:pt>
                <c:pt idx="317">
                  <c:v>131.1063212678747</c:v>
                </c:pt>
                <c:pt idx="318">
                  <c:v>132.8747236094399</c:v>
                </c:pt>
                <c:pt idx="319">
                  <c:v>134.6127302190276</c:v>
                </c:pt>
                <c:pt idx="320">
                  <c:v>136.3192433199665</c:v>
                </c:pt>
                <c:pt idx="321">
                  <c:v>137.9931850278217</c:v>
                </c:pt>
                <c:pt idx="322">
                  <c:v>139.6334980312193</c:v>
                </c:pt>
                <c:pt idx="323">
                  <c:v>141.2391462596754</c:v>
                </c:pt>
                <c:pt idx="324">
                  <c:v>142.8091155380089</c:v>
                </c:pt>
                <c:pt idx="325">
                  <c:v>144.3424142269251</c:v>
                </c:pt>
                <c:pt idx="326">
                  <c:v>145.838073849364</c:v>
                </c:pt>
                <c:pt idx="327">
                  <c:v>147.2951497022198</c:v>
                </c:pt>
                <c:pt idx="328">
                  <c:v>148.7127214530433</c:v>
                </c:pt>
                <c:pt idx="329">
                  <c:v>150.0898937213511</c:v>
                </c:pt>
                <c:pt idx="330">
                  <c:v>151.4257966441745</c:v>
                </c:pt>
                <c:pt idx="331">
                  <c:v>152.7195864254912</c:v>
                </c:pt>
                <c:pt idx="332">
                  <c:v>153.9704458691916</c:v>
                </c:pt>
                <c:pt idx="333">
                  <c:v>155.1775848952443</c:v>
                </c:pt>
                <c:pt idx="334">
                  <c:v>156.3402410387341</c:v>
                </c:pt>
                <c:pt idx="335">
                  <c:v>157.4576799314578</c:v>
                </c:pt>
                <c:pt idx="336">
                  <c:v>158.5291957657724</c:v>
                </c:pt>
                <c:pt idx="337">
                  <c:v>159.5541117404049</c:v>
                </c:pt>
                <c:pt idx="338">
                  <c:v>160.5317804879396</c:v>
                </c:pt>
                <c:pt idx="339">
                  <c:v>161.4615844837149</c:v>
                </c:pt>
                <c:pt idx="340">
                  <c:v>162.34293643587</c:v>
                </c:pt>
                <c:pt idx="341">
                  <c:v>163.1752796562963</c:v>
                </c:pt>
                <c:pt idx="342">
                  <c:v>163.9580884122577</c:v>
                </c:pt>
                <c:pt idx="343">
                  <c:v>164.6908682584593</c:v>
                </c:pt>
                <c:pt idx="344">
                  <c:v>165.373156349354</c:v>
                </c:pt>
                <c:pt idx="345">
                  <c:v>166.0045217314885</c:v>
                </c:pt>
                <c:pt idx="346">
                  <c:v>166.5845656157078</c:v>
                </c:pt>
                <c:pt idx="347">
                  <c:v>167.1129216290413</c:v>
                </c:pt>
                <c:pt idx="348">
                  <c:v>167.589256046115</c:v>
                </c:pt>
                <c:pt idx="349">
                  <c:v>168.0132679999425</c:v>
                </c:pt>
                <c:pt idx="350">
                  <c:v>168.3846896719615</c:v>
                </c:pt>
                <c:pt idx="351">
                  <c:v>168.7032864611962</c:v>
                </c:pt>
                <c:pt idx="352">
                  <c:v>168.9688571324378</c:v>
                </c:pt>
                <c:pt idx="353">
                  <c:v>169.1812339433509</c:v>
                </c:pt>
                <c:pt idx="354">
                  <c:v>169.3402827504247</c:v>
                </c:pt>
                <c:pt idx="355">
                  <c:v>169.4459030937017</c:v>
                </c:pt>
                <c:pt idx="356">
                  <c:v>169.4980282602313</c:v>
                </c:pt>
                <c:pt idx="357">
                  <c:v>169.4966253262081</c:v>
                </c:pt>
                <c:pt idx="358">
                  <c:v>169.4416951777667</c:v>
                </c:pt>
                <c:pt idx="359">
                  <c:v>169.333272510423</c:v>
                </c:pt>
                <c:pt idx="360">
                  <c:v>169.1714258071586</c:v>
                </c:pt>
                <c:pt idx="361">
                  <c:v>168.9562572951654</c:v>
                </c:pt>
                <c:pt idx="362">
                  <c:v>168.6879028812757</c:v>
                </c:pt>
                <c:pt idx="363">
                  <c:v>168.3665320661196</c:v>
                </c:pt>
                <c:pt idx="364">
                  <c:v>167.992347837063</c:v>
                </c:pt>
                <c:pt idx="365">
                  <c:v>167.5655865399952</c:v>
                </c:pt>
                <c:pt idx="366">
                  <c:v>167.0865177300453</c:v>
                </c:pt>
                <c:pt idx="367">
                  <c:v>166.5554440013236</c:v>
                </c:pt>
                <c:pt idx="368">
                  <c:v>165.9727007957939</c:v>
                </c:pt>
                <c:pt idx="369">
                  <c:v>165.3386561913985</c:v>
                </c:pt>
                <c:pt idx="370">
                  <c:v>164.6537106695691</c:v>
                </c:pt>
                <c:pt idx="371">
                  <c:v>163.9182968622709</c:v>
                </c:pt>
                <c:pt idx="372">
                  <c:v>163.1328792787396</c:v>
                </c:pt>
                <c:pt idx="373">
                  <c:v>162.297954012083</c:v>
                </c:pt>
                <c:pt idx="374">
                  <c:v>161.4140484259344</c:v>
                </c:pt>
                <c:pt idx="375">
                  <c:v>160.4817208213538</c:v>
                </c:pt>
                <c:pt idx="376">
                  <c:v>159.5015600841882</c:v>
                </c:pt>
                <c:pt idx="377">
                  <c:v>158.4741853131139</c:v>
                </c:pt>
                <c:pt idx="378">
                  <c:v>157.4002454285958</c:v>
                </c:pt>
                <c:pt idx="379">
                  <c:v>156.280418763009</c:v>
                </c:pt>
                <c:pt idx="380">
                  <c:v>155.1154126321848</c:v>
                </c:pt>
                <c:pt idx="381">
                  <c:v>153.9059628886484</c:v>
                </c:pt>
                <c:pt idx="382">
                  <c:v>152.6528334568328</c:v>
                </c:pt>
                <c:pt idx="383">
                  <c:v>151.3568158505615</c:v>
                </c:pt>
                <c:pt idx="384">
                  <c:v>150.0187286731046</c:v>
                </c:pt>
                <c:pt idx="385">
                  <c:v>148.6394171001245</c:v>
                </c:pt>
                <c:pt idx="386">
                  <c:v>147.2197523458385</c:v>
                </c:pt>
                <c:pt idx="387">
                  <c:v>145.7606311127331</c:v>
                </c:pt>
                <c:pt idx="388">
                  <c:v>144.2629750251807</c:v>
                </c:pt>
                <c:pt idx="389">
                  <c:v>142.7277300473137</c:v>
                </c:pt>
                <c:pt idx="390">
                  <c:v>141.1558658855261</c:v>
                </c:pt>
                <c:pt idx="391">
                  <c:v>139.5483753759774</c:v>
                </c:pt>
                <c:pt idx="392">
                  <c:v>137.9062738574882</c:v>
                </c:pt>
                <c:pt idx="393">
                  <c:v>136.2305985302218</c:v>
                </c:pt>
                <c:pt idx="394">
                  <c:v>134.5224078005576</c:v>
                </c:pt>
                <c:pt idx="395">
                  <c:v>132.7827806125707</c:v>
                </c:pt>
                <c:pt idx="396">
                  <c:v>131.0128157665381</c:v>
                </c:pt>
                <c:pt idx="397">
                  <c:v>129.2136312249039</c:v>
                </c:pt>
                <c:pt idx="398">
                  <c:v>127.3863634061415</c:v>
                </c:pt>
                <c:pt idx="399">
                  <c:v>125.5321664669569</c:v>
                </c:pt>
                <c:pt idx="400">
                  <c:v>123.6522115732902</c:v>
                </c:pt>
                <c:pt idx="401">
                  <c:v>121.7476861605711</c:v>
                </c:pt>
                <c:pt idx="402">
                  <c:v>119.8197931837004</c:v>
                </c:pt>
                <c:pt idx="403">
                  <c:v>117.8697503572274</c:v>
                </c:pt>
                <c:pt idx="404">
                  <c:v>115.8987893862051</c:v>
                </c:pt>
                <c:pt idx="405">
                  <c:v>113.9081551882091</c:v>
                </c:pt>
                <c:pt idx="406">
                  <c:v>111.8991051070099</c:v>
                </c:pt>
                <c:pt idx="407">
                  <c:v>109.8729081183981</c:v>
                </c:pt>
                <c:pt idx="408">
                  <c:v>107.8308440286606</c:v>
                </c:pt>
                <c:pt idx="409">
                  <c:v>105.7742026662178</c:v>
                </c:pt>
                <c:pt idx="410">
                  <c:v>103.7042830669287</c:v>
                </c:pt>
                <c:pt idx="411">
                  <c:v>101.6223926535819</c:v>
                </c:pt>
                <c:pt idx="412">
                  <c:v>99.52984641008828</c:v>
                </c:pt>
                <c:pt idx="413">
                  <c:v>97.42796605089777</c:v>
                </c:pt>
                <c:pt idx="414">
                  <c:v>95.31807918616562</c:v>
                </c:pt>
                <c:pt idx="415">
                  <c:v>93.20151848319403</c:v>
                </c:pt>
                <c:pt idx="416">
                  <c:v>91.07962082467999</c:v>
                </c:pt>
                <c:pt idx="417">
                  <c:v>88.9537264643003</c:v>
                </c:pt>
                <c:pt idx="418">
                  <c:v>86.82517818016761</c:v>
                </c:pt>
                <c:pt idx="419">
                  <c:v>84.69532042669174</c:v>
                </c:pt>
                <c:pt idx="420">
                  <c:v>82.56549848538226</c:v>
                </c:pt>
                <c:pt idx="421">
                  <c:v>80.43705761512873</c:v>
                </c:pt>
                <c:pt idx="422">
                  <c:v>78.31134220249517</c:v>
                </c:pt>
                <c:pt idx="423">
                  <c:v>76.18969491256549</c:v>
                </c:pt>
                <c:pt idx="424">
                  <c:v>74.07345584087624</c:v>
                </c:pt>
                <c:pt idx="425">
                  <c:v>71.96396166697256</c:v>
                </c:pt>
                <c:pt idx="426">
                  <c:v>69.86254481012145</c:v>
                </c:pt>
                <c:pt idx="427">
                  <c:v>67.77053258771619</c:v>
                </c:pt>
                <c:pt idx="428">
                  <c:v>65.68924637690328</c:v>
                </c:pt>
                <c:pt idx="429">
                  <c:v>63.62000077996119</c:v>
                </c:pt>
                <c:pt idx="430">
                  <c:v>61.56410279395853</c:v>
                </c:pt>
                <c:pt idx="431">
                  <c:v>59.52285098521585</c:v>
                </c:pt>
                <c:pt idx="432">
                  <c:v>57.49753466909245</c:v>
                </c:pt>
                <c:pt idx="433">
                  <c:v>55.4894330956165</c:v>
                </c:pt>
                <c:pt idx="434">
                  <c:v>53.49981464147271</c:v>
                </c:pt>
                <c:pt idx="435">
                  <c:v>51.52993600885778</c:v>
                </c:pt>
                <c:pt idx="436">
                  <c:v>49.58104143171</c:v>
                </c:pt>
                <c:pt idx="437">
                  <c:v>47.65436188981404</c:v>
                </c:pt>
                <c:pt idx="438">
                  <c:v>45.75111433127756</c:v>
                </c:pt>
                <c:pt idx="439">
                  <c:v>43.87250090387052</c:v>
                </c:pt>
                <c:pt idx="440">
                  <c:v>42.01970819571288</c:v>
                </c:pt>
                <c:pt idx="441">
                  <c:v>40.19390648579037</c:v>
                </c:pt>
                <c:pt idx="442">
                  <c:v>38.39624900477131</c:v>
                </c:pt>
                <c:pt idx="443">
                  <c:v>36.62787120659194</c:v>
                </c:pt>
                <c:pt idx="444">
                  <c:v>34.8898900512699</c:v>
                </c:pt>
                <c:pt idx="445">
                  <c:v>33.18340329939903</c:v>
                </c:pt>
                <c:pt idx="446">
                  <c:v>31.50948881877116</c:v>
                </c:pt>
                <c:pt idx="447">
                  <c:v>29.86920390356275</c:v>
                </c:pt>
                <c:pt idx="448">
                  <c:v>28.26358460651642</c:v>
                </c:pt>
                <c:pt idx="449">
                  <c:v>26.69364508453924</c:v>
                </c:pt>
                <c:pt idx="450">
                  <c:v>25.16037695813105</c:v>
                </c:pt>
                <c:pt idx="451">
                  <c:v>23.66474868504746</c:v>
                </c:pt>
                <c:pt idx="452">
                  <c:v>22.20770494859314</c:v>
                </c:pt>
                <c:pt idx="453">
                  <c:v>20.7901660609317</c:v>
                </c:pt>
                <c:pt idx="454">
                  <c:v>19.41302738178921</c:v>
                </c:pt>
                <c:pt idx="455">
                  <c:v>18.07715875291832</c:v>
                </c:pt>
                <c:pt idx="456">
                  <c:v>16.78340394868037</c:v>
                </c:pt>
                <c:pt idx="457">
                  <c:v>15.53258014309237</c:v>
                </c:pt>
                <c:pt idx="458">
                  <c:v>14.32547739367561</c:v>
                </c:pt>
                <c:pt idx="459">
                  <c:v>13.16285814243183</c:v>
                </c:pt>
                <c:pt idx="460">
                  <c:v>12.04545673426215</c:v>
                </c:pt>
                <c:pt idx="461">
                  <c:v>10.97397895313302</c:v>
                </c:pt>
                <c:pt idx="462">
                  <c:v>9.949101576282046</c:v>
                </c:pt>
                <c:pt idx="463">
                  <c:v>8.97147194674536</c:v>
                </c:pt>
                <c:pt idx="464">
                  <c:v>8.041707564476514</c:v>
                </c:pt>
                <c:pt idx="465">
                  <c:v>7.16039569631514</c:v>
                </c:pt>
                <c:pt idx="466">
                  <c:v>6.32809300505174</c:v>
                </c:pt>
                <c:pt idx="467">
                  <c:v>5.545325197822908</c:v>
                </c:pt>
                <c:pt idx="468">
                  <c:v>4.812586694059076</c:v>
                </c:pt>
                <c:pt idx="469">
                  <c:v>4.130340313194485</c:v>
                </c:pt>
                <c:pt idx="470">
                  <c:v>3.49901698233667</c:v>
                </c:pt>
                <c:pt idx="471">
                  <c:v>2.919015464080075</c:v>
                </c:pt>
                <c:pt idx="472">
                  <c:v>2.390702104635742</c:v>
                </c:pt>
                <c:pt idx="473">
                  <c:v>1.914410602436148</c:v>
                </c:pt>
                <c:pt idx="474">
                  <c:v>1.490441797361344</c:v>
                </c:pt>
                <c:pt idx="475">
                  <c:v>1.119063480719546</c:v>
                </c:pt>
                <c:pt idx="476">
                  <c:v>0.800510226102168</c:v>
                </c:pt>
                <c:pt idx="477">
                  <c:v>0.534983241220177</c:v>
                </c:pt>
                <c:pt idx="478">
                  <c:v>0.322650240815309</c:v>
                </c:pt>
                <c:pt idx="479">
                  <c:v>0.163645340726452</c:v>
                </c:pt>
                <c:pt idx="480">
                  <c:v>0.058068973178093</c:v>
                </c:pt>
                <c:pt idx="481">
                  <c:v>0.00598782334433993</c:v>
                </c:pt>
                <c:pt idx="482">
                  <c:v>0.00743478722857799</c:v>
                </c:pt>
                <c:pt idx="483">
                  <c:v>0.0624089508853781</c:v>
                </c:pt>
                <c:pt idx="484">
                  <c:v>0.170875590997771</c:v>
                </c:pt>
                <c:pt idx="485">
                  <c:v>0.332766196809529</c:v>
                </c:pt>
                <c:pt idx="486">
                  <c:v>0.547978513398593</c:v>
                </c:pt>
                <c:pt idx="487">
                  <c:v>0.816376606264327</c:v>
                </c:pt>
                <c:pt idx="488">
                  <c:v>1.137790947187794</c:v>
                </c:pt>
                <c:pt idx="489">
                  <c:v>1.512018521310813</c:v>
                </c:pt>
                <c:pt idx="490">
                  <c:v>1.938822955366192</c:v>
                </c:pt>
                <c:pt idx="491">
                  <c:v>2.417934666978106</c:v>
                </c:pt>
                <c:pt idx="492">
                  <c:v>2.949051034938354</c:v>
                </c:pt>
                <c:pt idx="493">
                  <c:v>3.531836590350903</c:v>
                </c:pt>
                <c:pt idx="494">
                  <c:v>4.165923228524034</c:v>
                </c:pt>
                <c:pt idx="495">
                  <c:v>4.850910441476206</c:v>
                </c:pt>
                <c:pt idx="496">
                  <c:v>5.586365570908813</c:v>
                </c:pt>
                <c:pt idx="497">
                  <c:v>6.371824081486034</c:v>
                </c:pt>
                <c:pt idx="498">
                  <c:v>7.206789854249171</c:v>
                </c:pt>
                <c:pt idx="499">
                  <c:v>8.090735499980137</c:v>
                </c:pt>
                <c:pt idx="500">
                  <c:v>9.023102692316179</c:v>
                </c:pt>
              </c:numCache>
            </c:numRef>
          </c:yVal>
          <c:smooth val="0"/>
        </c:ser>
        <c:ser>
          <c:idx val="2"/>
          <c:order val="2"/>
          <c:tx>
            <c:v>Total Energy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Steps'!$G$1:$G$501</c:f>
              <c:numCache>
                <c:formatCode>General</c:formatCode>
                <c:ptCount val="501"/>
                <c:pt idx="0">
                  <c:v>0.0</c:v>
                </c:pt>
                <c:pt idx="1">
                  <c:v>170.0</c:v>
                </c:pt>
                <c:pt idx="2">
                  <c:v>170.0235285477933</c:v>
                </c:pt>
                <c:pt idx="3">
                  <c:v>170.0467289692263</c:v>
                </c:pt>
                <c:pt idx="4">
                  <c:v>170.0695866102229</c:v>
                </c:pt>
                <c:pt idx="5">
                  <c:v>170.0920870332171</c:v>
                </c:pt>
                <c:pt idx="6">
                  <c:v>170.1142160262724</c:v>
                </c:pt>
                <c:pt idx="7">
                  <c:v>170.1359596120586</c:v>
                </c:pt>
                <c:pt idx="8">
                  <c:v>170.1573040566801</c:v>
                </c:pt>
                <c:pt idx="9">
                  <c:v>170.178235878351</c:v>
                </c:pt>
                <c:pt idx="10">
                  <c:v>170.1987418559097</c:v>
                </c:pt>
                <c:pt idx="11">
                  <c:v>170.2188090371712</c:v>
                </c:pt>
                <c:pt idx="12">
                  <c:v>170.2384247471069</c:v>
                </c:pt>
                <c:pt idx="13">
                  <c:v>170.2575765958507</c:v>
                </c:pt>
                <c:pt idx="14">
                  <c:v>170.2762524865255</c:v>
                </c:pt>
                <c:pt idx="15">
                  <c:v>170.294440622883</c:v>
                </c:pt>
                <c:pt idx="16">
                  <c:v>170.3121295167555</c:v>
                </c:pt>
                <c:pt idx="17">
                  <c:v>170.3293079953114</c:v>
                </c:pt>
                <c:pt idx="18">
                  <c:v>170.3459652081126</c:v>
                </c:pt>
                <c:pt idx="19">
                  <c:v>170.362090633968</c:v>
                </c:pt>
                <c:pt idx="20">
                  <c:v>170.3776740875792</c:v>
                </c:pt>
                <c:pt idx="21">
                  <c:v>170.3927057259731</c:v>
                </c:pt>
                <c:pt idx="22">
                  <c:v>170.40717605472</c:v>
                </c:pt>
                <c:pt idx="23">
                  <c:v>170.4210759339297</c:v>
                </c:pt>
                <c:pt idx="24">
                  <c:v>170.4343965840251</c:v>
                </c:pt>
                <c:pt idx="25">
                  <c:v>170.4471295912873</c:v>
                </c:pt>
                <c:pt idx="26">
                  <c:v>170.4592669131703</c:v>
                </c:pt>
                <c:pt idx="27">
                  <c:v>170.4708008833805</c:v>
                </c:pt>
                <c:pt idx="28">
                  <c:v>170.4817242167193</c:v>
                </c:pt>
                <c:pt idx="29">
                  <c:v>170.4920300136843</c:v>
                </c:pt>
                <c:pt idx="30">
                  <c:v>170.5017117648277</c:v>
                </c:pt>
                <c:pt idx="31">
                  <c:v>170.5107633548676</c:v>
                </c:pt>
                <c:pt idx="32">
                  <c:v>170.5191790665502</c:v>
                </c:pt>
                <c:pt idx="33">
                  <c:v>170.526953584262</c:v>
                </c:pt>
                <c:pt idx="34">
                  <c:v>170.5340819973861</c:v>
                </c:pt>
                <c:pt idx="35">
                  <c:v>170.540559803405</c:v>
                </c:pt>
                <c:pt idx="36">
                  <c:v>170.5463829107434</c:v>
                </c:pt>
                <c:pt idx="37">
                  <c:v>170.5515476413538</c:v>
                </c:pt>
                <c:pt idx="38">
                  <c:v>170.5560507330385</c:v>
                </c:pt>
                <c:pt idx="39">
                  <c:v>170.5598893415111</c:v>
                </c:pt>
                <c:pt idx="40">
                  <c:v>170.563061042192</c:v>
                </c:pt>
                <c:pt idx="41">
                  <c:v>170.565563831741</c:v>
                </c:pt>
                <c:pt idx="42">
                  <c:v>170.5673961293216</c:v>
                </c:pt>
                <c:pt idx="43">
                  <c:v>170.5685567776002</c:v>
                </c:pt>
                <c:pt idx="44">
                  <c:v>170.5690450434768</c:v>
                </c:pt>
                <c:pt idx="45">
                  <c:v>170.5688606185481</c:v>
                </c:pt>
                <c:pt idx="46">
                  <c:v>170.5680036193025</c:v>
                </c:pt>
                <c:pt idx="47">
                  <c:v>170.5664745870462</c:v>
                </c:pt>
                <c:pt idx="48">
                  <c:v>170.5642744875613</c:v>
                </c:pt>
                <c:pt idx="49">
                  <c:v>170.5614047104962</c:v>
                </c:pt>
                <c:pt idx="50">
                  <c:v>170.5578670684875</c:v>
                </c:pt>
                <c:pt idx="51">
                  <c:v>170.553663796015</c:v>
                </c:pt>
                <c:pt idx="52">
                  <c:v>170.5487975479907</c:v>
                </c:pt>
                <c:pt idx="53">
                  <c:v>170.5432713980815</c:v>
                </c:pt>
                <c:pt idx="54">
                  <c:v>170.5370888367682</c:v>
                </c:pt>
                <c:pt idx="55">
                  <c:v>170.5302537691404</c:v>
                </c:pt>
                <c:pt idx="56">
                  <c:v>170.52277051243</c:v>
                </c:pt>
                <c:pt idx="57">
                  <c:v>170.5146437932846</c:v>
                </c:pt>
                <c:pt idx="58">
                  <c:v>170.5058787447819</c:v>
                </c:pt>
                <c:pt idx="59">
                  <c:v>170.496480903187</c:v>
                </c:pt>
                <c:pt idx="60">
                  <c:v>170.4864562044562</c:v>
                </c:pt>
                <c:pt idx="61">
                  <c:v>170.4758109804876</c:v>
                </c:pt>
                <c:pt idx="62">
                  <c:v>170.4645519551211</c:v>
                </c:pt>
                <c:pt idx="63">
                  <c:v>170.4526862398922</c:v>
                </c:pt>
                <c:pt idx="64">
                  <c:v>170.4402213295394</c:v>
                </c:pt>
                <c:pt idx="65">
                  <c:v>170.427165097271</c:v>
                </c:pt>
                <c:pt idx="66">
                  <c:v>170.4135257897916</c:v>
                </c:pt>
                <c:pt idx="67">
                  <c:v>170.3993120220935</c:v>
                </c:pt>
                <c:pt idx="68">
                  <c:v>170.3845327720152</c:v>
                </c:pt>
                <c:pt idx="69">
                  <c:v>170.3691973745705</c:v>
                </c:pt>
                <c:pt idx="70">
                  <c:v>170.3533155160528</c:v>
                </c:pt>
                <c:pt idx="71">
                  <c:v>170.3368972279163</c:v>
                </c:pt>
                <c:pt idx="72">
                  <c:v>170.31995288044</c:v>
                </c:pt>
                <c:pt idx="73">
                  <c:v>170.302493176178</c:v>
                </c:pt>
                <c:pt idx="74">
                  <c:v>170.2845291431985</c:v>
                </c:pt>
                <c:pt idx="75">
                  <c:v>170.2660721281194</c:v>
                </c:pt>
                <c:pt idx="76">
                  <c:v>170.2471337889404</c:v>
                </c:pt>
                <c:pt idx="77">
                  <c:v>170.2277260876796</c:v>
                </c:pt>
                <c:pt idx="78">
                  <c:v>170.2078612828187</c:v>
                </c:pt>
                <c:pt idx="79">
                  <c:v>170.1875519215591</c:v>
                </c:pt>
                <c:pt idx="80">
                  <c:v>170.1668108318976</c:v>
                </c:pt>
                <c:pt idx="81">
                  <c:v>170.1456511145233</c:v>
                </c:pt>
                <c:pt idx="82">
                  <c:v>170.1240861345431</c:v>
                </c:pt>
                <c:pt idx="83">
                  <c:v>170.1021295130399</c:v>
                </c:pt>
                <c:pt idx="84">
                  <c:v>170.0797951184688</c:v>
                </c:pt>
                <c:pt idx="85">
                  <c:v>170.0570970578979</c:v>
                </c:pt>
                <c:pt idx="86">
                  <c:v>170.0340496680972</c:v>
                </c:pt>
                <c:pt idx="87">
                  <c:v>170.0106675064839</c:v>
                </c:pt>
                <c:pt idx="88">
                  <c:v>169.9869653419265</c:v>
                </c:pt>
                <c:pt idx="89">
                  <c:v>169.9629581454174</c:v>
                </c:pt>
                <c:pt idx="90">
                  <c:v>169.9386610806158</c:v>
                </c:pt>
                <c:pt idx="91">
                  <c:v>169.9140894942707</c:v>
                </c:pt>
                <c:pt idx="92">
                  <c:v>169.8892589065268</c:v>
                </c:pt>
                <c:pt idx="93">
                  <c:v>169.8641850011219</c:v>
                </c:pt>
                <c:pt idx="94">
                  <c:v>169.8388836154807</c:v>
                </c:pt>
                <c:pt idx="95">
                  <c:v>169.8133707307106</c:v>
                </c:pt>
                <c:pt idx="96">
                  <c:v>169.7876624615089</c:v>
                </c:pt>
                <c:pt idx="97">
                  <c:v>169.7617750459828</c:v>
                </c:pt>
                <c:pt idx="98">
                  <c:v>169.7357248353941</c:v>
                </c:pt>
                <c:pt idx="99">
                  <c:v>169.7095282838307</c:v>
                </c:pt>
                <c:pt idx="100">
                  <c:v>169.6832019378137</c:v>
                </c:pt>
                <c:pt idx="101">
                  <c:v>169.6567624258462</c:v>
                </c:pt>
                <c:pt idx="102">
                  <c:v>169.6302264479107</c:v>
                </c:pt>
                <c:pt idx="103">
                  <c:v>169.6036107649201</c:v>
                </c:pt>
                <c:pt idx="104">
                  <c:v>169.5769321881313</c:v>
                </c:pt>
                <c:pt idx="105">
                  <c:v>169.5502075685271</c:v>
                </c:pt>
                <c:pt idx="106">
                  <c:v>169.523453786172</c:v>
                </c:pt>
                <c:pt idx="107">
                  <c:v>169.4966877395509</c:v>
                </c:pt>
                <c:pt idx="108">
                  <c:v>169.469926334895</c:v>
                </c:pt>
                <c:pt idx="109">
                  <c:v>169.4431864755033</c:v>
                </c:pt>
                <c:pt idx="110">
                  <c:v>169.4164850510666</c:v>
                </c:pt>
                <c:pt idx="111">
                  <c:v>169.3898389269986</c:v>
                </c:pt>
                <c:pt idx="112">
                  <c:v>169.363264933784</c:v>
                </c:pt>
                <c:pt idx="113">
                  <c:v>169.3367798563473</c:v>
                </c:pt>
                <c:pt idx="114">
                  <c:v>169.3104004234511</c:v>
                </c:pt>
                <c:pt idx="115">
                  <c:v>169.2841432971302</c:v>
                </c:pt>
                <c:pt idx="116">
                  <c:v>169.2580250621663</c:v>
                </c:pt>
                <c:pt idx="117">
                  <c:v>169.2320622156135</c:v>
                </c:pt>
                <c:pt idx="118">
                  <c:v>169.2062711563781</c:v>
                </c:pt>
                <c:pt idx="119">
                  <c:v>169.1806681748602</c:v>
                </c:pt>
                <c:pt idx="120">
                  <c:v>169.1552694426643</c:v>
                </c:pt>
                <c:pt idx="121">
                  <c:v>169.1300910023855</c:v>
                </c:pt>
                <c:pt idx="122">
                  <c:v>169.1051487574753</c:v>
                </c:pt>
                <c:pt idx="123">
                  <c:v>169.0804584621977</c:v>
                </c:pt>
                <c:pt idx="124">
                  <c:v>169.0560357116776</c:v>
                </c:pt>
                <c:pt idx="125">
                  <c:v>169.0318959320504</c:v>
                </c:pt>
                <c:pt idx="126">
                  <c:v>169.0080543707193</c:v>
                </c:pt>
                <c:pt idx="127">
                  <c:v>168.9845260867234</c:v>
                </c:pt>
                <c:pt idx="128">
                  <c:v>168.9613259412267</c:v>
                </c:pt>
                <c:pt idx="129">
                  <c:v>168.9384685881314</c:v>
                </c:pt>
                <c:pt idx="130">
                  <c:v>168.9159684648214</c:v>
                </c:pt>
                <c:pt idx="131">
                  <c:v>168.8938397830439</c:v>
                </c:pt>
                <c:pt idx="132">
                  <c:v>168.8720965199325</c:v>
                </c:pt>
                <c:pt idx="133">
                  <c:v>168.8507524091791</c:v>
                </c:pt>
                <c:pt idx="134">
                  <c:v>168.8298209323587</c:v>
                </c:pt>
                <c:pt idx="135">
                  <c:v>168.8093153104147</c:v>
                </c:pt>
                <c:pt idx="136">
                  <c:v>168.789248495308</c:v>
                </c:pt>
                <c:pt idx="137">
                  <c:v>168.7696331618359</c:v>
                </c:pt>
                <c:pt idx="138">
                  <c:v>168.7504816996263</c:v>
                </c:pt>
                <c:pt idx="139">
                  <c:v>168.7318062053126</c:v>
                </c:pt>
                <c:pt idx="140">
                  <c:v>168.7136184748923</c:v>
                </c:pt>
                <c:pt idx="141">
                  <c:v>168.6959299962771</c:v>
                </c:pt>
                <c:pt idx="142">
                  <c:v>168.6787519420362</c:v>
                </c:pt>
                <c:pt idx="143">
                  <c:v>168.6620951623396</c:v>
                </c:pt>
                <c:pt idx="144">
                  <c:v>168.6459701781048</c:v>
                </c:pt>
                <c:pt idx="145">
                  <c:v>168.6303871743514</c:v>
                </c:pt>
                <c:pt idx="146">
                  <c:v>168.6153559937682</c:v>
                </c:pt>
                <c:pt idx="147">
                  <c:v>168.600886130496</c:v>
                </c:pt>
                <c:pt idx="148">
                  <c:v>168.5869867241307</c:v>
                </c:pt>
                <c:pt idx="149">
                  <c:v>168.5736665539509</c:v>
                </c:pt>
                <c:pt idx="150">
                  <c:v>168.5609340333723</c:v>
                </c:pt>
                <c:pt idx="151">
                  <c:v>168.5487972046335</c:v>
                </c:pt>
                <c:pt idx="152">
                  <c:v>168.5372637337167</c:v>
                </c:pt>
                <c:pt idx="153">
                  <c:v>168.5263409055051</c:v>
                </c:pt>
                <c:pt idx="154">
                  <c:v>168.5160356191819</c:v>
                </c:pt>
                <c:pt idx="155">
                  <c:v>168.5063543838726</c:v>
                </c:pt>
                <c:pt idx="156">
                  <c:v>168.4973033145332</c:v>
                </c:pt>
                <c:pt idx="157">
                  <c:v>168.4888881280884</c:v>
                </c:pt>
                <c:pt idx="158">
                  <c:v>168.4811141398203</c:v>
                </c:pt>
                <c:pt idx="159">
                  <c:v>168.4739862600111</c:v>
                </c:pt>
                <c:pt idx="160">
                  <c:v>168.4675089908417</c:v>
                </c:pt>
                <c:pt idx="161">
                  <c:v>168.461686423548</c:v>
                </c:pt>
                <c:pt idx="162">
                  <c:v>168.4565222358366</c:v>
                </c:pt>
                <c:pt idx="163">
                  <c:v>168.4520196895622</c:v>
                </c:pt>
                <c:pt idx="164">
                  <c:v>168.4481816286668</c:v>
                </c:pt>
                <c:pt idx="165">
                  <c:v>168.4450104773841</c:v>
                </c:pt>
                <c:pt idx="166">
                  <c:v>168.4425082387073</c:v>
                </c:pt>
                <c:pt idx="167">
                  <c:v>168.4406764931248</c:v>
                </c:pt>
                <c:pt idx="168">
                  <c:v>168.4395163976217</c:v>
                </c:pt>
                <c:pt idx="169">
                  <c:v>168.4390286849489</c:v>
                </c:pt>
                <c:pt idx="170">
                  <c:v>168.43921366316</c:v>
                </c:pt>
                <c:pt idx="171">
                  <c:v>168.4400712154174</c:v>
                </c:pt>
                <c:pt idx="172">
                  <c:v>168.4416008000656</c:v>
                </c:pt>
                <c:pt idx="173">
                  <c:v>168.4438014509734</c:v>
                </c:pt>
                <c:pt idx="174">
                  <c:v>168.4466717781442</c:v>
                </c:pt>
                <c:pt idx="175">
                  <c:v>168.4502099685941</c:v>
                </c:pt>
                <c:pt idx="176">
                  <c:v>168.4544137874966</c:v>
                </c:pt>
                <c:pt idx="177">
                  <c:v>168.4592805795948</c:v>
                </c:pt>
                <c:pt idx="178">
                  <c:v>168.4648072708779</c:v>
                </c:pt>
                <c:pt idx="179">
                  <c:v>168.4709903705235</c:v>
                </c:pt>
                <c:pt idx="180">
                  <c:v>168.4778259731017</c:v>
                </c:pt>
                <c:pt idx="181">
                  <c:v>168.4853097610427</c:v>
                </c:pt>
                <c:pt idx="182">
                  <c:v>168.4934370073635</c:v>
                </c:pt>
                <c:pt idx="183">
                  <c:v>168.5022025786535</c:v>
                </c:pt>
                <c:pt idx="184">
                  <c:v>168.5116009383171</c:v>
                </c:pt>
                <c:pt idx="185">
                  <c:v>168.5216261500709</c:v>
                </c:pt>
                <c:pt idx="186">
                  <c:v>168.5322718816928</c:v>
                </c:pt>
                <c:pt idx="187">
                  <c:v>168.5435314090223</c:v>
                </c:pt>
                <c:pt idx="188">
                  <c:v>168.5553976202067</c:v>
                </c:pt>
                <c:pt idx="189">
                  <c:v>168.5678630201944</c:v>
                </c:pt>
                <c:pt idx="190">
                  <c:v>168.5809197354677</c:v>
                </c:pt>
                <c:pt idx="191">
                  <c:v>168.594559519017</c:v>
                </c:pt>
                <c:pt idx="192">
                  <c:v>168.6087737555493</c:v>
                </c:pt>
                <c:pt idx="193">
                  <c:v>168.6235534669299</c:v>
                </c:pt>
                <c:pt idx="194">
                  <c:v>168.6388893178536</c:v>
                </c:pt>
                <c:pt idx="195">
                  <c:v>168.6547716217407</c:v>
                </c:pt>
                <c:pt idx="196">
                  <c:v>168.6711903468558</c:v>
                </c:pt>
                <c:pt idx="197">
                  <c:v>168.6881351226435</c:v>
                </c:pt>
                <c:pt idx="198">
                  <c:v>168.7055952462796</c:v>
                </c:pt>
                <c:pt idx="199">
                  <c:v>168.7235596894305</c:v>
                </c:pt>
                <c:pt idx="200">
                  <c:v>168.7420171052197</c:v>
                </c:pt>
                <c:pt idx="201">
                  <c:v>168.7609558353943</c:v>
                </c:pt>
                <c:pt idx="202">
                  <c:v>168.780363917689</c:v>
                </c:pt>
                <c:pt idx="203">
                  <c:v>168.8002290933817</c:v>
                </c:pt>
                <c:pt idx="204">
                  <c:v>168.8205388150366</c:v>
                </c:pt>
                <c:pt idx="205">
                  <c:v>168.8412802544294</c:v>
                </c:pt>
                <c:pt idx="206">
                  <c:v>168.86244031065</c:v>
                </c:pt>
                <c:pt idx="207">
                  <c:v>168.8840056183773</c:v>
                </c:pt>
                <c:pt idx="208">
                  <c:v>168.9059625563218</c:v>
                </c:pt>
                <c:pt idx="209">
                  <c:v>168.9282972558282</c:v>
                </c:pt>
                <c:pt idx="210">
                  <c:v>168.950995609636</c:v>
                </c:pt>
                <c:pt idx="211">
                  <c:v>168.9740432807898</c:v>
                </c:pt>
                <c:pt idx="212">
                  <c:v>168.9974257116949</c:v>
                </c:pt>
                <c:pt idx="213">
                  <c:v>169.0211281333124</c:v>
                </c:pt>
                <c:pt idx="214">
                  <c:v>169.0451355744879</c:v>
                </c:pt>
                <c:pt idx="215">
                  <c:v>169.0694328714073</c:v>
                </c:pt>
                <c:pt idx="216">
                  <c:v>169.0940046771752</c:v>
                </c:pt>
                <c:pt idx="217">
                  <c:v>169.1188354715082</c:v>
                </c:pt>
                <c:pt idx="218">
                  <c:v>169.1439095705381</c:v>
                </c:pt>
                <c:pt idx="219">
                  <c:v>169.169211136718</c:v>
                </c:pt>
                <c:pt idx="220">
                  <c:v>169.1947241888262</c:v>
                </c:pt>
                <c:pt idx="221">
                  <c:v>169.2204326120601</c:v>
                </c:pt>
                <c:pt idx="222">
                  <c:v>169.2463201682148</c:v>
                </c:pt>
                <c:pt idx="223">
                  <c:v>169.2723705059398</c:v>
                </c:pt>
                <c:pt idx="224">
                  <c:v>169.2985671710671</c:v>
                </c:pt>
                <c:pt idx="225">
                  <c:v>169.3248936170035</c:v>
                </c:pt>
                <c:pt idx="226">
                  <c:v>169.351333215183</c:v>
                </c:pt>
                <c:pt idx="227">
                  <c:v>169.3778692655686</c:v>
                </c:pt>
                <c:pt idx="228">
                  <c:v>169.404485007202</c:v>
                </c:pt>
                <c:pt idx="229">
                  <c:v>169.4311636287886</c:v>
                </c:pt>
                <c:pt idx="230">
                  <c:v>169.4578882793178</c:v>
                </c:pt>
                <c:pt idx="231">
                  <c:v>169.4846420787053</c:v>
                </c:pt>
                <c:pt idx="232">
                  <c:v>169.5114081284556</c:v>
                </c:pt>
                <c:pt idx="233">
                  <c:v>169.5381695223356</c:v>
                </c:pt>
                <c:pt idx="234">
                  <c:v>169.5649093570528</c:v>
                </c:pt>
                <c:pt idx="235">
                  <c:v>169.5916107429323</c:v>
                </c:pt>
                <c:pt idx="236">
                  <c:v>169.6182568145844</c:v>
                </c:pt>
                <c:pt idx="237">
                  <c:v>169.6448307415578</c:v>
                </c:pt>
                <c:pt idx="238">
                  <c:v>169.6713157389699</c:v>
                </c:pt>
                <c:pt idx="239">
                  <c:v>169.6976950781083</c:v>
                </c:pt>
                <c:pt idx="240">
                  <c:v>169.7239520969979</c:v>
                </c:pt>
                <c:pt idx="241">
                  <c:v>169.7500702109244</c:v>
                </c:pt>
                <c:pt idx="242">
                  <c:v>169.7760329229103</c:v>
                </c:pt>
                <c:pt idx="243">
                  <c:v>169.8018238341344</c:v>
                </c:pt>
                <c:pt idx="244">
                  <c:v>169.82742665429</c:v>
                </c:pt>
                <c:pt idx="245">
                  <c:v>169.8528252118745</c:v>
                </c:pt>
                <c:pt idx="246">
                  <c:v>169.8780034644032</c:v>
                </c:pt>
                <c:pt idx="247">
                  <c:v>169.9029455085431</c:v>
                </c:pt>
                <c:pt idx="248">
                  <c:v>169.9276355901571</c:v>
                </c:pt>
                <c:pt idx="249">
                  <c:v>169.9520581142552</c:v>
                </c:pt>
                <c:pt idx="250">
                  <c:v>169.9761976548449</c:v>
                </c:pt>
                <c:pt idx="251">
                  <c:v>170.0000389646741</c:v>
                </c:pt>
                <c:pt idx="252">
                  <c:v>170.0235669848626</c:v>
                </c:pt>
                <c:pt idx="253">
                  <c:v>170.0467668544129</c:v>
                </c:pt>
                <c:pt idx="254">
                  <c:v>170.0696239195972</c:v>
                </c:pt>
                <c:pt idx="255">
                  <c:v>170.0921237432135</c:v>
                </c:pt>
                <c:pt idx="256">
                  <c:v>170.1142521137037</c:v>
                </c:pt>
                <c:pt idx="257">
                  <c:v>170.1359950541309</c:v>
                </c:pt>
                <c:pt idx="258">
                  <c:v>170.1573388310072</c:v>
                </c:pt>
                <c:pt idx="259">
                  <c:v>170.1782699629683</c:v>
                </c:pt>
                <c:pt idx="260">
                  <c:v>170.1987752292886</c:v>
                </c:pt>
                <c:pt idx="261">
                  <c:v>170.2188416782319</c:v>
                </c:pt>
                <c:pt idx="262">
                  <c:v>170.2384566352322</c:v>
                </c:pt>
                <c:pt idx="263">
                  <c:v>170.2576077108993</c:v>
                </c:pt>
                <c:pt idx="264">
                  <c:v>170.2762828088441</c:v>
                </c:pt>
                <c:pt idx="265">
                  <c:v>170.2944701333192</c:v>
                </c:pt>
                <c:pt idx="266">
                  <c:v>170.3121581966696</c:v>
                </c:pt>
                <c:pt idx="267">
                  <c:v>170.3293358265883</c:v>
                </c:pt>
                <c:pt idx="268">
                  <c:v>170.3459921731732</c:v>
                </c:pt>
                <c:pt idx="269">
                  <c:v>170.3621167157805</c:v>
                </c:pt>
                <c:pt idx="270">
                  <c:v>170.3776992696694</c:v>
                </c:pt>
                <c:pt idx="271">
                  <c:v>170.3927299924354</c:v>
                </c:pt>
                <c:pt idx="272">
                  <c:v>170.4071993902269</c:v>
                </c:pt>
                <c:pt idx="273">
                  <c:v>170.4210983237417</c:v>
                </c:pt>
                <c:pt idx="274">
                  <c:v>170.4344180140003</c:v>
                </c:pt>
                <c:pt idx="275">
                  <c:v>170.4471500478899</c:v>
                </c:pt>
                <c:pt idx="276">
                  <c:v>170.4592863834791</c:v>
                </c:pt>
                <c:pt idx="277">
                  <c:v>170.4708193550977</c:v>
                </c:pt>
                <c:pt idx="278">
                  <c:v>170.4817416781774</c:v>
                </c:pt>
                <c:pt idx="279">
                  <c:v>170.4920464538543</c:v>
                </c:pt>
                <c:pt idx="280">
                  <c:v>170.5017271733254</c:v>
                </c:pt>
                <c:pt idx="281">
                  <c:v>170.5107777219605</c:v>
                </c:pt>
                <c:pt idx="282">
                  <c:v>170.5191923831638</c:v>
                </c:pt>
                <c:pt idx="283">
                  <c:v>170.5269658419849</c:v>
                </c:pt>
                <c:pt idx="284">
                  <c:v>170.5340931884761</c:v>
                </c:pt>
                <c:pt idx="285">
                  <c:v>170.5405699207934</c:v>
                </c:pt>
                <c:pt idx="286">
                  <c:v>170.54639194804</c:v>
                </c:pt>
                <c:pt idx="287">
                  <c:v>170.55155559285</c:v>
                </c:pt>
                <c:pt idx="288">
                  <c:v>170.5560575937122</c:v>
                </c:pt>
                <c:pt idx="289">
                  <c:v>170.5598951070286</c:v>
                </c:pt>
                <c:pt idx="290">
                  <c:v>170.5630657089119</c:v>
                </c:pt>
                <c:pt idx="291">
                  <c:v>170.5655673967156</c:v>
                </c:pt>
                <c:pt idx="292">
                  <c:v>170.567398590299</c:v>
                </c:pt>
                <c:pt idx="293">
                  <c:v>170.5685581330261</c:v>
                </c:pt>
                <c:pt idx="294">
                  <c:v>170.569045292495</c:v>
                </c:pt>
                <c:pt idx="295">
                  <c:v>170.5688597610015</c:v>
                </c:pt>
                <c:pt idx="296">
                  <c:v>170.5680016557326</c:v>
                </c:pt>
                <c:pt idx="297">
                  <c:v>170.5664715186932</c:v>
                </c:pt>
                <c:pt idx="298">
                  <c:v>170.5642703163634</c:v>
                </c:pt>
                <c:pt idx="299">
                  <c:v>170.561399439088</c:v>
                </c:pt>
                <c:pt idx="300">
                  <c:v>170.5578607001985</c:v>
                </c:pt>
                <c:pt idx="301">
                  <c:v>170.5536563348678</c:v>
                </c:pt>
                <c:pt idx="302">
                  <c:v>170.5487889986978</c:v>
                </c:pt>
                <c:pt idx="303">
                  <c:v>170.543261766043</c:v>
                </c:pt>
                <c:pt idx="304">
                  <c:v>170.5370781280679</c:v>
                </c:pt>
                <c:pt idx="305">
                  <c:v>170.5302419905422</c:v>
                </c:pt>
                <c:pt idx="306">
                  <c:v>170.5227576713738</c:v>
                </c:pt>
                <c:pt idx="307">
                  <c:v>170.514629897881</c:v>
                </c:pt>
                <c:pt idx="308">
                  <c:v>170.5058638038076</c:v>
                </c:pt>
                <c:pt idx="309">
                  <c:v>170.4964649260793</c:v>
                </c:pt>
                <c:pt idx="310">
                  <c:v>170.4864392013068</c:v>
                </c:pt>
                <c:pt idx="311">
                  <c:v>170.4757929620361</c:v>
                </c:pt>
                <c:pt idx="312">
                  <c:v>170.4645329327485</c:v>
                </c:pt>
                <c:pt idx="313">
                  <c:v>170.4526662256135</c:v>
                </c:pt>
                <c:pt idx="314">
                  <c:v>170.4402003359964</c:v>
                </c:pt>
                <c:pt idx="315">
                  <c:v>170.4271431377237</c:v>
                </c:pt>
                <c:pt idx="316">
                  <c:v>170.4135028781104</c:v>
                </c:pt>
                <c:pt idx="317">
                  <c:v>170.3992881727499</c:v>
                </c:pt>
                <c:pt idx="318">
                  <c:v>170.3845080000733</c:v>
                </c:pt>
                <c:pt idx="319">
                  <c:v>170.3691716956771</c:v>
                </c:pt>
                <c:pt idx="320">
                  <c:v>170.3532889464273</c:v>
                </c:pt>
                <c:pt idx="321">
                  <c:v>170.3368697843408</c:v>
                </c:pt>
                <c:pt idx="322">
                  <c:v>170.3199245802489</c:v>
                </c:pt>
                <c:pt idx="323">
                  <c:v>170.3024640372463</c:v>
                </c:pt>
                <c:pt idx="324">
                  <c:v>170.2844991839315</c:v>
                </c:pt>
                <c:pt idx="325">
                  <c:v>170.2660413674401</c:v>
                </c:pt>
                <c:pt idx="326">
                  <c:v>170.2471022462781</c:v>
                </c:pt>
                <c:pt idx="327">
                  <c:v>170.2276937829577</c:v>
                </c:pt>
                <c:pt idx="328">
                  <c:v>170.2078282364417</c:v>
                </c:pt>
                <c:pt idx="329">
                  <c:v>170.1875181544002</c:v>
                </c:pt>
                <c:pt idx="330">
                  <c:v>170.1667763652851</c:v>
                </c:pt>
                <c:pt idx="331">
                  <c:v>170.1456159702273</c:v>
                </c:pt>
                <c:pt idx="332">
                  <c:v>170.1240503347619</c:v>
                </c:pt>
                <c:pt idx="333">
                  <c:v>170.1020930803856</c:v>
                </c:pt>
                <c:pt idx="334">
                  <c:v>170.0797580759534</c:v>
                </c:pt>
                <c:pt idx="335">
                  <c:v>170.0570594289184</c:v>
                </c:pt>
                <c:pt idx="336">
                  <c:v>170.0340114764214</c:v>
                </c:pt>
                <c:pt idx="337">
                  <c:v>170.0106287762346</c:v>
                </c:pt>
                <c:pt idx="338">
                  <c:v>169.986926097567</c:v>
                </c:pt>
                <c:pt idx="339">
                  <c:v>169.9629184117355</c:v>
                </c:pt>
                <c:pt idx="340">
                  <c:v>169.9386208827086</c:v>
                </c:pt>
                <c:pt idx="341">
                  <c:v>169.9140488575284</c:v>
                </c:pt>
                <c:pt idx="342">
                  <c:v>169.8892178566167</c:v>
                </c:pt>
                <c:pt idx="343">
                  <c:v>169.8641435639725</c:v>
                </c:pt>
                <c:pt idx="344">
                  <c:v>169.8388418172647</c:v>
                </c:pt>
                <c:pt idx="345">
                  <c:v>169.8133285978293</c:v>
                </c:pt>
                <c:pt idx="346">
                  <c:v>169.7876200205744</c:v>
                </c:pt>
                <c:pt idx="347">
                  <c:v>169.7617323238022</c:v>
                </c:pt>
                <c:pt idx="348">
                  <c:v>169.7356818589519</c:v>
                </c:pt>
                <c:pt idx="349">
                  <c:v>169.7094850802721</c:v>
                </c:pt>
                <c:pt idx="350">
                  <c:v>169.6831585344274</c:v>
                </c:pt>
                <c:pt idx="351">
                  <c:v>169.6567188500472</c:v>
                </c:pt>
                <c:pt idx="352">
                  <c:v>169.6301827272227</c:v>
                </c:pt>
                <c:pt idx="353">
                  <c:v>169.6035669269582</c:v>
                </c:pt>
                <c:pt idx="354">
                  <c:v>169.576888260585</c:v>
                </c:pt>
                <c:pt idx="355">
                  <c:v>169.5501635791423</c:v>
                </c:pt>
                <c:pt idx="356">
                  <c:v>169.5234097627338</c:v>
                </c:pt>
                <c:pt idx="357">
                  <c:v>169.4966437098657</c:v>
                </c:pt>
                <c:pt idx="358">
                  <c:v>169.4698823267732</c:v>
                </c:pt>
                <c:pt idx="359">
                  <c:v>169.4431425167419</c:v>
                </c:pt>
                <c:pt idx="360">
                  <c:v>169.4164411694312</c:v>
                </c:pt>
                <c:pt idx="361">
                  <c:v>169.3897951502061</c:v>
                </c:pt>
                <c:pt idx="362">
                  <c:v>169.3632212894852</c:v>
                </c:pt>
                <c:pt idx="363">
                  <c:v>169.3367363721092</c:v>
                </c:pt>
                <c:pt idx="364">
                  <c:v>169.3103571267398</c:v>
                </c:pt>
                <c:pt idx="365">
                  <c:v>169.284100215293</c:v>
                </c:pt>
                <c:pt idx="366">
                  <c:v>169.257982222415</c:v>
                </c:pt>
                <c:pt idx="367">
                  <c:v>169.232019645007</c:v>
                </c:pt>
                <c:pt idx="368">
                  <c:v>169.2062288818052</c:v>
                </c:pt>
                <c:pt idx="369">
                  <c:v>169.1806262230228</c:v>
                </c:pt>
                <c:pt idx="370">
                  <c:v>169.1552278400606</c:v>
                </c:pt>
                <c:pt idx="371">
                  <c:v>169.1300497752927</c:v>
                </c:pt>
                <c:pt idx="372">
                  <c:v>169.1051079319338</c:v>
                </c:pt>
                <c:pt idx="373">
                  <c:v>169.080418063994</c:v>
                </c:pt>
                <c:pt idx="374">
                  <c:v>169.0559957663284</c:v>
                </c:pt>
                <c:pt idx="375">
                  <c:v>169.0318564647866</c:v>
                </c:pt>
                <c:pt idx="376">
                  <c:v>169.0080154064694</c:v>
                </c:pt>
                <c:pt idx="377">
                  <c:v>168.9844876500984</c:v>
                </c:pt>
                <c:pt idx="378">
                  <c:v>168.9612880565044</c:v>
                </c:pt>
                <c:pt idx="379">
                  <c:v>168.9384312792408</c:v>
                </c:pt>
                <c:pt idx="380">
                  <c:v>168.9159317553279</c:v>
                </c:pt>
                <c:pt idx="381">
                  <c:v>168.8938036961344</c:v>
                </c:pt>
                <c:pt idx="382">
                  <c:v>168.8720610784006</c:v>
                </c:pt>
                <c:pt idx="383">
                  <c:v>168.8507176354106</c:v>
                </c:pt>
                <c:pt idx="384">
                  <c:v>168.8297868483178</c:v>
                </c:pt>
                <c:pt idx="385">
                  <c:v>168.80928193763</c:v>
                </c:pt>
                <c:pt idx="386">
                  <c:v>168.7892158548586</c:v>
                </c:pt>
                <c:pt idx="387">
                  <c:v>168.7696012743385</c:v>
                </c:pt>
                <c:pt idx="388">
                  <c:v>168.7504505852221</c:v>
                </c:pt>
                <c:pt idx="389">
                  <c:v>168.7317758836542</c:v>
                </c:pt>
                <c:pt idx="390">
                  <c:v>168.7135889651319</c:v>
                </c:pt>
                <c:pt idx="391">
                  <c:v>168.695901317054</c:v>
                </c:pt>
                <c:pt idx="392">
                  <c:v>168.6787241114649</c:v>
                </c:pt>
                <c:pt idx="393">
                  <c:v>168.6620681979987</c:v>
                </c:pt>
                <c:pt idx="394">
                  <c:v>168.6459440970258</c:v>
                </c:pt>
                <c:pt idx="395">
                  <c:v>168.630361993008</c:v>
                </c:pt>
                <c:pt idx="396">
                  <c:v>168.6153317280657</c:v>
                </c:pt>
                <c:pt idx="397">
                  <c:v>168.6008627957612</c:v>
                </c:pt>
                <c:pt idx="398">
                  <c:v>168.5869643351026</c:v>
                </c:pt>
                <c:pt idx="399">
                  <c:v>168.573645124771</c:v>
                </c:pt>
                <c:pt idx="400">
                  <c:v>168.5609135775759</c:v>
                </c:pt>
                <c:pt idx="401">
                  <c:v>168.5487777351412</c:v>
                </c:pt>
                <c:pt idx="402">
                  <c:v>168.537245262826</c:v>
                </c:pt>
                <c:pt idx="403">
                  <c:v>168.5263234448827</c:v>
                </c:pt>
                <c:pt idx="404">
                  <c:v>168.5160191798566</c:v>
                </c:pt>
                <c:pt idx="405">
                  <c:v>168.5063389762278</c:v>
                </c:pt>
                <c:pt idx="406">
                  <c:v>168.4972889483008</c:v>
                </c:pt>
                <c:pt idx="407">
                  <c:v>168.4888748123427</c:v>
                </c:pt>
                <c:pt idx="408">
                  <c:v>168.4811018829718</c:v>
                </c:pt>
                <c:pt idx="409">
                  <c:v>168.4739750698016</c:v>
                </c:pt>
                <c:pt idx="410">
                  <c:v>168.4674988743393</c:v>
                </c:pt>
                <c:pt idx="411">
                  <c:v>168.4616773871425</c:v>
                </c:pt>
                <c:pt idx="412">
                  <c:v>168.4565142852358</c:v>
                </c:pt>
                <c:pt idx="413">
                  <c:v>168.4520128297879</c:v>
                </c:pt>
                <c:pt idx="414">
                  <c:v>168.4481758640518</c:v>
                </c:pt>
                <c:pt idx="415">
                  <c:v>168.4450058115694</c:v>
                </c:pt>
                <c:pt idx="416">
                  <c:v>168.4425046746401</c:v>
                </c:pt>
                <c:pt idx="417">
                  <c:v>168.4406740330563</c:v>
                </c:pt>
                <c:pt idx="418">
                  <c:v>168.4395150431058</c:v>
                </c:pt>
                <c:pt idx="419">
                  <c:v>168.4390284368409</c:v>
                </c:pt>
                <c:pt idx="420">
                  <c:v>168.4392145216168</c:v>
                </c:pt>
                <c:pt idx="421">
                  <c:v>168.4400731798968</c:v>
                </c:pt>
                <c:pt idx="422">
                  <c:v>168.4416038693267</c:v>
                </c:pt>
                <c:pt idx="423">
                  <c:v>168.4438056230776</c:v>
                </c:pt>
                <c:pt idx="424">
                  <c:v>168.4466770504562</c:v>
                </c:pt>
                <c:pt idx="425">
                  <c:v>168.4502163377838</c:v>
                </c:pt>
                <c:pt idx="426">
                  <c:v>168.4544212495411</c:v>
                </c:pt>
                <c:pt idx="427">
                  <c:v>168.4592891297808</c:v>
                </c:pt>
                <c:pt idx="428">
                  <c:v>168.4648169038048</c:v>
                </c:pt>
                <c:pt idx="429">
                  <c:v>168.4710010801068</c:v>
                </c:pt>
                <c:pt idx="430">
                  <c:v>168.4778377525771</c:v>
                </c:pt>
                <c:pt idx="431">
                  <c:v>168.4853226029698</c:v>
                </c:pt>
                <c:pt idx="432">
                  <c:v>168.493450903631</c:v>
                </c:pt>
                <c:pt idx="433">
                  <c:v>168.502217520484</c:v>
                </c:pt>
                <c:pt idx="434">
                  <c:v>168.5116169162731</c:v>
                </c:pt>
                <c:pt idx="435">
                  <c:v>168.5216431540601</c:v>
                </c:pt>
                <c:pt idx="436">
                  <c:v>168.5322899009751</c:v>
                </c:pt>
                <c:pt idx="437">
                  <c:v>168.543550432216</c:v>
                </c:pt>
                <c:pt idx="438">
                  <c:v>168.5554176352963</c:v>
                </c:pt>
                <c:pt idx="439">
                  <c:v>168.5678840145378</c:v>
                </c:pt>
                <c:pt idx="440">
                  <c:v>168.5809416958042</c:v>
                </c:pt>
                <c:pt idx="441">
                  <c:v>168.5945824314758</c:v>
                </c:pt>
                <c:pt idx="442">
                  <c:v>168.6087976056581</c:v>
                </c:pt>
                <c:pt idx="443">
                  <c:v>168.6235782396245</c:v>
                </c:pt>
                <c:pt idx="444">
                  <c:v>168.6389149974867</c:v>
                </c:pt>
                <c:pt idx="445">
                  <c:v>168.6547981920923</c:v>
                </c:pt>
                <c:pt idx="446">
                  <c:v>168.6712177911432</c:v>
                </c:pt>
                <c:pt idx="447">
                  <c:v>168.6881634235322</c:v>
                </c:pt>
                <c:pt idx="448">
                  <c:v>168.7056243858938</c:v>
                </c:pt>
                <c:pt idx="449">
                  <c:v>168.7235896493648</c:v>
                </c:pt>
                <c:pt idx="450">
                  <c:v>168.7420478665505</c:v>
                </c:pt>
                <c:pt idx="451">
                  <c:v>168.7609873786918</c:v>
                </c:pt>
                <c:pt idx="452">
                  <c:v>168.7803962230296</c:v>
                </c:pt>
                <c:pt idx="453">
                  <c:v>168.8002621403603</c:v>
                </c:pt>
                <c:pt idx="454">
                  <c:v>168.8205725827798</c:v>
                </c:pt>
                <c:pt idx="455">
                  <c:v>168.8413147216084</c:v>
                </c:pt>
                <c:pt idx="456">
                  <c:v>168.8624754554943</c:v>
                </c:pt>
                <c:pt idx="457">
                  <c:v>168.8840414186886</c:v>
                </c:pt>
                <c:pt idx="458">
                  <c:v>168.9059989894874</c:v>
                </c:pt>
                <c:pt idx="459">
                  <c:v>168.9283342988359</c:v>
                </c:pt>
                <c:pt idx="460">
                  <c:v>168.9510332390882</c:v>
                </c:pt>
                <c:pt idx="461">
                  <c:v>168.9740814729187</c:v>
                </c:pt>
                <c:pt idx="462">
                  <c:v>168.9974644423772</c:v>
                </c:pt>
                <c:pt idx="463">
                  <c:v>169.0211673780846</c:v>
                </c:pt>
                <c:pt idx="464">
                  <c:v>169.0451753085619</c:v>
                </c:pt>
                <c:pt idx="465">
                  <c:v>169.0694730696858</c:v>
                </c:pt>
                <c:pt idx="466">
                  <c:v>169.094045314268</c:v>
                </c:pt>
                <c:pt idx="467">
                  <c:v>169.1188765217475</c:v>
                </c:pt>
                <c:pt idx="468">
                  <c:v>169.1439510079954</c:v>
                </c:pt>
                <c:pt idx="469">
                  <c:v>169.1692529352202</c:v>
                </c:pt>
                <c:pt idx="470">
                  <c:v>169.1947663219721</c:v>
                </c:pt>
                <c:pt idx="471">
                  <c:v>169.220475053237</c:v>
                </c:pt>
                <c:pt idx="472">
                  <c:v>169.2463628906157</c:v>
                </c:pt>
                <c:pt idx="473">
                  <c:v>169.27241348258</c:v>
                </c:pt>
                <c:pt idx="474">
                  <c:v>169.2986103748012</c:v>
                </c:pt>
                <c:pt idx="475">
                  <c:v>169.3249370205428</c:v>
                </c:pt>
                <c:pt idx="476">
                  <c:v>169.3513767911125</c:v>
                </c:pt>
                <c:pt idx="477">
                  <c:v>169.3779129863645</c:v>
                </c:pt>
                <c:pt idx="478">
                  <c:v>169.4045288452488</c:v>
                </c:pt>
                <c:pt idx="479">
                  <c:v>169.4312075563971</c:v>
                </c:pt>
                <c:pt idx="480">
                  <c:v>169.4579322687419</c:v>
                </c:pt>
                <c:pt idx="481">
                  <c:v>169.48468610216</c:v>
                </c:pt>
                <c:pt idx="482">
                  <c:v>169.5114521581344</c:v>
                </c:pt>
                <c:pt idx="483">
                  <c:v>169.5382135304279</c:v>
                </c:pt>
                <c:pt idx="484">
                  <c:v>169.564953315762</c:v>
                </c:pt>
                <c:pt idx="485">
                  <c:v>169.5916546244925</c:v>
                </c:pt>
                <c:pt idx="486">
                  <c:v>169.618300591279</c:v>
                </c:pt>
                <c:pt idx="487">
                  <c:v>169.6448743857361</c:v>
                </c:pt>
                <c:pt idx="488">
                  <c:v>169.6713592230648</c:v>
                </c:pt>
                <c:pt idx="489">
                  <c:v>169.697738374654</c:v>
                </c:pt>
                <c:pt idx="490">
                  <c:v>169.7239951786469</c:v>
                </c:pt>
                <c:pt idx="491">
                  <c:v>169.7501130504652</c:v>
                </c:pt>
                <c:pt idx="492">
                  <c:v>169.7760754932841</c:v>
                </c:pt>
                <c:pt idx="493">
                  <c:v>169.8018661084526</c:v>
                </c:pt>
                <c:pt idx="494">
                  <c:v>169.8274686058508</c:v>
                </c:pt>
                <c:pt idx="495">
                  <c:v>169.85286681418</c:v>
                </c:pt>
                <c:pt idx="496">
                  <c:v>169.8780446911762</c:v>
                </c:pt>
                <c:pt idx="497">
                  <c:v>169.9029863337435</c:v>
                </c:pt>
                <c:pt idx="498">
                  <c:v>169.9276759879985</c:v>
                </c:pt>
                <c:pt idx="499">
                  <c:v>169.9520980592212</c:v>
                </c:pt>
                <c:pt idx="500">
                  <c:v>169.976237121705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2173296"/>
        <c:axId val="-1012813872"/>
      </c:scatterChart>
      <c:valAx>
        <c:axId val="-101217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813872"/>
        <c:crosses val="autoZero"/>
        <c:crossBetween val="midCat"/>
      </c:valAx>
      <c:valAx>
        <c:axId val="-10128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(J)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12173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'Analytical Steps'!$D$1</c:f>
              <c:strCache>
                <c:ptCount val="1"/>
                <c:pt idx="0">
                  <c:v>Kinetic Energy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Steps'!$D$2:$D$502</c:f>
              <c:numCache>
                <c:formatCode>General</c:formatCode>
                <c:ptCount val="501"/>
                <c:pt idx="0">
                  <c:v>160.0</c:v>
                </c:pt>
                <c:pt idx="1">
                  <c:v>158.971110378514</c:v>
                </c:pt>
                <c:pt idx="2">
                  <c:v>157.8954990182605</c:v>
                </c:pt>
                <c:pt idx="3">
                  <c:v>156.7738452984287</c:v>
                </c:pt>
                <c:pt idx="4">
                  <c:v>155.6068576795489</c:v>
                </c:pt>
                <c:pt idx="5">
                  <c:v>154.3952732560137</c:v>
                </c:pt>
                <c:pt idx="6">
                  <c:v>153.1398572905133</c:v>
                </c:pt>
                <c:pt idx="7">
                  <c:v>151.8414027306794</c:v>
                </c:pt>
                <c:pt idx="8">
                  <c:v>150.5007297082423</c:v>
                </c:pt>
                <c:pt idx="9">
                  <c:v>149.1186850210181</c:v>
                </c:pt>
                <c:pt idx="10">
                  <c:v>147.6961415980532</c:v>
                </c:pt>
                <c:pt idx="11">
                  <c:v>146.2339979482635</c:v>
                </c:pt>
                <c:pt idx="12">
                  <c:v>144.7331775929169</c:v>
                </c:pt>
                <c:pt idx="13">
                  <c:v>143.1946284823175</c:v>
                </c:pt>
                <c:pt idx="14">
                  <c:v>141.6193223970599</c:v>
                </c:pt>
                <c:pt idx="15">
                  <c:v>140.0082543342318</c:v>
                </c:pt>
                <c:pt idx="16">
                  <c:v>138.3624418789522</c:v>
                </c:pt>
                <c:pt idx="17">
                  <c:v>136.6829245616433</c:v>
                </c:pt>
                <c:pt idx="18">
                  <c:v>134.9707632014405</c:v>
                </c:pt>
                <c:pt idx="19">
                  <c:v>133.2270392361564</c:v>
                </c:pt>
                <c:pt idx="20">
                  <c:v>131.4528540392212</c:v>
                </c:pt>
                <c:pt idx="21">
                  <c:v>129.6493282240322</c:v>
                </c:pt>
                <c:pt idx="22">
                  <c:v>127.8176009361501</c:v>
                </c:pt>
                <c:pt idx="23">
                  <c:v>125.9588291337899</c:v>
                </c:pt>
                <c:pt idx="24">
                  <c:v>124.0741868570618</c:v>
                </c:pt>
                <c:pt idx="25">
                  <c:v>122.1648644864221</c:v>
                </c:pt>
                <c:pt idx="26">
                  <c:v>120.2320679908034</c:v>
                </c:pt>
                <c:pt idx="27">
                  <c:v>118.2770181658988</c:v>
                </c:pt>
                <c:pt idx="28">
                  <c:v>116.3009498630808</c:v>
                </c:pt>
                <c:pt idx="29">
                  <c:v>114.3051112094436</c:v>
                </c:pt>
                <c:pt idx="30">
                  <c:v>112.2907628194583</c:v>
                </c:pt>
                <c:pt idx="31">
                  <c:v>110.2591769987425</c:v>
                </c:pt>
                <c:pt idx="32">
                  <c:v>108.2116369404441</c:v>
                </c:pt>
                <c:pt idx="33">
                  <c:v>106.1494359147499</c:v>
                </c:pt>
                <c:pt idx="34">
                  <c:v>104.0738764520276</c:v>
                </c:pt>
                <c:pt idx="35">
                  <c:v>101.9862695201202</c:v>
                </c:pt>
                <c:pt idx="36">
                  <c:v>99.88793369631032</c:v>
                </c:pt>
                <c:pt idx="37">
                  <c:v>97.78019433447888</c:v>
                </c:pt>
                <c:pt idx="38">
                  <c:v>95.66438272798271</c:v>
                </c:pt>
                <c:pt idx="39">
                  <c:v>93.54183526878163</c:v>
                </c:pt>
                <c:pt idx="40">
                  <c:v>91.41389260334418</c:v>
                </c:pt>
                <c:pt idx="41">
                  <c:v>89.28189878586691</c:v>
                </c:pt>
                <c:pt idx="42">
                  <c:v>87.14720042934087</c:v>
                </c:pt>
                <c:pt idx="43">
                  <c:v>85.01114585500183</c:v>
                </c:pt>
                <c:pt idx="44">
                  <c:v>82.87508424070191</c:v>
                </c:pt>
                <c:pt idx="45">
                  <c:v>80.7403647687397</c:v>
                </c:pt>
                <c:pt idx="46">
                  <c:v>78.60833577368803</c:v>
                </c:pt>
                <c:pt idx="47">
                  <c:v>76.4803438907568</c:v>
                </c:pt>
                <c:pt idx="48">
                  <c:v>74.35773320522935</c:v>
                </c:pt>
                <c:pt idx="49">
                  <c:v>72.24184440350944</c:v>
                </c:pt>
                <c:pt idx="50">
                  <c:v>70.13401392631493</c:v>
                </c:pt>
                <c:pt idx="51">
                  <c:v>68.0355731245532</c:v>
                </c:pt>
                <c:pt idx="52">
                  <c:v>65.94784741841134</c:v>
                </c:pt>
                <c:pt idx="53">
                  <c:v>63.87215546019241</c:v>
                </c:pt>
                <c:pt idx="54">
                  <c:v>61.80980830142641</c:v>
                </c:pt>
                <c:pt idx="55">
                  <c:v>59.76210856478182</c:v>
                </c:pt>
                <c:pt idx="56">
                  <c:v>57.73034962130157</c:v>
                </c:pt>
                <c:pt idx="57">
                  <c:v>55.71581477348184</c:v>
                </c:pt>
                <c:pt idx="58">
                  <c:v>53.71977644471082</c:v>
                </c:pt>
                <c:pt idx="59">
                  <c:v>51.74349537557886</c:v>
                </c:pt>
                <c:pt idx="60">
                  <c:v>49.78821982756769</c:v>
                </c:pt>
                <c:pt idx="61">
                  <c:v>47.85518479462154</c:v>
                </c:pt>
                <c:pt idx="62">
                  <c:v>45.94561122309884</c:v>
                </c:pt>
                <c:pt idx="63">
                  <c:v>44.06070524059595</c:v>
                </c:pt>
                <c:pt idx="64">
                  <c:v>42.20165739413137</c:v>
                </c:pt>
                <c:pt idx="65">
                  <c:v>40.36964189817066</c:v>
                </c:pt>
                <c:pt idx="66">
                  <c:v>38.5658158929674</c:v>
                </c:pt>
                <c:pt idx="67">
                  <c:v>36.79131871368858</c:v>
                </c:pt>
                <c:pt idx="68">
                  <c:v>35.04727117078613</c:v>
                </c:pt>
                <c:pt idx="69">
                  <c:v>33.33477484206902</c:v>
                </c:pt>
                <c:pt idx="70">
                  <c:v>31.65491137692314</c:v>
                </c:pt>
                <c:pt idx="71">
                  <c:v>30.00874181311822</c:v>
                </c:pt>
                <c:pt idx="72">
                  <c:v>28.39730590663373</c:v>
                </c:pt>
                <c:pt idx="73">
                  <c:v>26.8216214749268</c:v>
                </c:pt>
                <c:pt idx="74">
                  <c:v>25.2826837540568</c:v>
                </c:pt>
                <c:pt idx="75">
                  <c:v>23.78146477007285</c:v>
                </c:pt>
                <c:pt idx="76">
                  <c:v>22.31891272506146</c:v>
                </c:pt>
                <c:pt idx="77">
                  <c:v>20.89595139824173</c:v>
                </c:pt>
                <c:pt idx="78">
                  <c:v>19.51347956248663</c:v>
                </c:pt>
                <c:pt idx="79">
                  <c:v>18.17237041663864</c:v>
                </c:pt>
                <c:pt idx="80">
                  <c:v>16.8734710339788</c:v>
                </c:pt>
                <c:pt idx="81">
                  <c:v>15.61760182719705</c:v>
                </c:pt>
                <c:pt idx="82">
                  <c:v>14.40555603020194</c:v>
                </c:pt>
                <c:pt idx="83">
                  <c:v>13.23809919709711</c:v>
                </c:pt>
                <c:pt idx="84">
                  <c:v>12.11596871864092</c:v>
                </c:pt>
                <c:pt idx="85">
                  <c:v>11.03987335649463</c:v>
                </c:pt>
                <c:pt idx="86">
                  <c:v>10.01049279555337</c:v>
                </c:pt>
                <c:pt idx="87">
                  <c:v>9.02847721464254</c:v>
                </c:pt>
                <c:pt idx="88">
                  <c:v>8.094446875850984</c:v>
                </c:pt>
                <c:pt idx="89">
                  <c:v>7.208991732760123</c:v>
                </c:pt>
                <c:pt idx="90">
                  <c:v>6.372671057816655</c:v>
                </c:pt>
                <c:pt idx="91">
                  <c:v>5.586013089084062</c:v>
                </c:pt>
                <c:pt idx="92">
                  <c:v>4.849514696596156</c:v>
                </c:pt>
                <c:pt idx="93">
                  <c:v>4.163641068523297</c:v>
                </c:pt>
                <c:pt idx="94">
                  <c:v>3.528825417349575</c:v>
                </c:pt>
                <c:pt idx="95">
                  <c:v>2.945468706246533</c:v>
                </c:pt>
                <c:pt idx="96">
                  <c:v>2.41393939581622</c:v>
                </c:pt>
                <c:pt idx="97">
                  <c:v>1.934573211363584</c:v>
                </c:pt>
                <c:pt idx="98">
                  <c:v>1.507672930845174</c:v>
                </c:pt>
                <c:pt idx="99">
                  <c:v>1.133508193628088</c:v>
                </c:pt>
                <c:pt idx="100">
                  <c:v>0.812315330179976</c:v>
                </c:pt>
                <c:pt idx="101">
                  <c:v>0.544297212797647</c:v>
                </c:pt>
                <c:pt idx="102">
                  <c:v>0.329623127468578</c:v>
                </c:pt>
                <c:pt idx="103">
                  <c:v>0.16842866694626</c:v>
                </c:pt>
                <c:pt idx="104">
                  <c:v>0.0608156451069034</c:v>
                </c:pt>
                <c:pt idx="105">
                  <c:v>0.00685203264161492</c:v>
                </c:pt>
                <c:pt idx="106">
                  <c:v>0.00657191412465146</c:v>
                </c:pt>
                <c:pt idx="107">
                  <c:v>0.0599754664848722</c:v>
                </c:pt>
                <c:pt idx="108">
                  <c:v>0.167028958893987</c:v>
                </c:pt>
                <c:pt idx="109">
                  <c:v>0.327664774071669</c:v>
                </c:pt>
                <c:pt idx="110">
                  <c:v>0.541781450994081</c:v>
                </c:pt>
                <c:pt idx="111">
                  <c:v>0.809243748978831</c:v>
                </c:pt>
                <c:pt idx="112">
                  <c:v>1.129882733105884</c:v>
                </c:pt>
                <c:pt idx="113">
                  <c:v>1.503495880920482</c:v>
                </c:pt>
                <c:pt idx="114">
                  <c:v>1.929847210350667</c:v>
                </c:pt>
                <c:pt idx="115">
                  <c:v>2.408667428758611</c:v>
                </c:pt>
                <c:pt idx="116">
                  <c:v>2.939654103031621</c:v>
                </c:pt>
                <c:pt idx="117">
                  <c:v>3.522471850605378</c:v>
                </c:pt>
                <c:pt idx="118">
                  <c:v>4.156752551298749</c:v>
                </c:pt>
                <c:pt idx="119">
                  <c:v>4.842095579826384</c:v>
                </c:pt>
                <c:pt idx="120">
                  <c:v>5.57806805884223</c:v>
                </c:pt>
                <c:pt idx="121">
                  <c:v>6.364205132354153</c:v>
                </c:pt>
                <c:pt idx="122">
                  <c:v>7.200010259336929</c:v>
                </c:pt>
                <c:pt idx="123">
                  <c:v>8.084955527358212</c:v>
                </c:pt>
                <c:pt idx="124">
                  <c:v>9.018481986019335</c:v>
                </c:pt>
                <c:pt idx="125">
                  <c:v>10.00000000000036</c:v>
                </c:pt>
                <c:pt idx="126">
                  <c:v>11.02888962148638</c:v>
                </c:pt>
                <c:pt idx="127">
                  <c:v>12.10450098173988</c:v>
                </c:pt>
                <c:pt idx="128">
                  <c:v>13.2261547015717</c:v>
                </c:pt>
                <c:pt idx="129">
                  <c:v>14.39314232045154</c:v>
                </c:pt>
                <c:pt idx="130">
                  <c:v>15.60472674398683</c:v>
                </c:pt>
                <c:pt idx="131">
                  <c:v>16.86014270948725</c:v>
                </c:pt>
                <c:pt idx="132">
                  <c:v>18.15859726932118</c:v>
                </c:pt>
                <c:pt idx="133">
                  <c:v>19.49927029175834</c:v>
                </c:pt>
                <c:pt idx="134">
                  <c:v>20.88131497898257</c:v>
                </c:pt>
                <c:pt idx="135">
                  <c:v>22.3038584019475</c:v>
                </c:pt>
                <c:pt idx="136">
                  <c:v>23.76600205173723</c:v>
                </c:pt>
                <c:pt idx="137">
                  <c:v>25.26682240708387</c:v>
                </c:pt>
                <c:pt idx="138">
                  <c:v>26.80537151768328</c:v>
                </c:pt>
                <c:pt idx="139">
                  <c:v>28.38067760294088</c:v>
                </c:pt>
                <c:pt idx="140">
                  <c:v>29.99174566576904</c:v>
                </c:pt>
                <c:pt idx="141">
                  <c:v>31.63755812104863</c:v>
                </c:pt>
                <c:pt idx="142">
                  <c:v>33.31707543835753</c:v>
                </c:pt>
                <c:pt idx="143">
                  <c:v>35.02923679856037</c:v>
                </c:pt>
                <c:pt idx="144">
                  <c:v>36.77296076384459</c:v>
                </c:pt>
                <c:pt idx="145">
                  <c:v>38.54714596077977</c:v>
                </c:pt>
                <c:pt idx="146">
                  <c:v>40.35067177596875</c:v>
                </c:pt>
                <c:pt idx="147">
                  <c:v>42.18239906385094</c:v>
                </c:pt>
                <c:pt idx="148">
                  <c:v>44.04117086621117</c:v>
                </c:pt>
                <c:pt idx="149">
                  <c:v>45.92581314293926</c:v>
                </c:pt>
                <c:pt idx="150">
                  <c:v>47.83513551357896</c:v>
                </c:pt>
                <c:pt idx="151">
                  <c:v>49.76793200919769</c:v>
                </c:pt>
                <c:pt idx="152">
                  <c:v>51.72298183410241</c:v>
                </c:pt>
                <c:pt idx="153">
                  <c:v>53.69905013692036</c:v>
                </c:pt>
                <c:pt idx="154">
                  <c:v>55.6948887905576</c:v>
                </c:pt>
                <c:pt idx="155">
                  <c:v>57.70923718054291</c:v>
                </c:pt>
                <c:pt idx="156">
                  <c:v>59.74082300125882</c:v>
                </c:pt>
                <c:pt idx="157">
                  <c:v>61.78836305955718</c:v>
                </c:pt>
                <c:pt idx="158">
                  <c:v>63.85056408525143</c:v>
                </c:pt>
                <c:pt idx="159">
                  <c:v>65.92612354797375</c:v>
                </c:pt>
                <c:pt idx="160">
                  <c:v>68.01373047988119</c:v>
                </c:pt>
                <c:pt idx="161">
                  <c:v>70.11206630369107</c:v>
                </c:pt>
                <c:pt idx="162">
                  <c:v>72.21980566552255</c:v>
                </c:pt>
                <c:pt idx="163">
                  <c:v>74.33561727201872</c:v>
                </c:pt>
                <c:pt idx="164">
                  <c:v>76.45816473121985</c:v>
                </c:pt>
                <c:pt idx="165">
                  <c:v>78.58610739665733</c:v>
                </c:pt>
                <c:pt idx="166">
                  <c:v>80.71810121413458</c:v>
                </c:pt>
                <c:pt idx="167">
                  <c:v>82.85279957066068</c:v>
                </c:pt>
                <c:pt idx="168">
                  <c:v>84.98885414499973</c:v>
                </c:pt>
                <c:pt idx="169">
                  <c:v>87.12491575929971</c:v>
                </c:pt>
                <c:pt idx="170">
                  <c:v>89.25963523126188</c:v>
                </c:pt>
                <c:pt idx="171">
                  <c:v>91.3916642263136</c:v>
                </c:pt>
                <c:pt idx="172">
                  <c:v>93.51965610924482</c:v>
                </c:pt>
                <c:pt idx="173">
                  <c:v>95.6422667947723</c:v>
                </c:pt>
                <c:pt idx="174">
                  <c:v>97.7581555964922</c:v>
                </c:pt>
                <c:pt idx="175">
                  <c:v>99.86598607368676</c:v>
                </c:pt>
                <c:pt idx="176">
                  <c:v>101.9644268754485</c:v>
                </c:pt>
                <c:pt idx="177">
                  <c:v>104.0521525815903</c:v>
                </c:pt>
                <c:pt idx="178">
                  <c:v>106.1278445398093</c:v>
                </c:pt>
                <c:pt idx="179">
                  <c:v>108.1901916985753</c:v>
                </c:pt>
                <c:pt idx="180">
                  <c:v>110.2378914352199</c:v>
                </c:pt>
                <c:pt idx="181">
                  <c:v>112.2696503787001</c:v>
                </c:pt>
                <c:pt idx="182">
                  <c:v>114.2841852265198</c:v>
                </c:pt>
                <c:pt idx="183">
                  <c:v>116.280223555291</c:v>
                </c:pt>
                <c:pt idx="184">
                  <c:v>118.2565046244228</c:v>
                </c:pt>
                <c:pt idx="185">
                  <c:v>120.211780172434</c:v>
                </c:pt>
                <c:pt idx="186">
                  <c:v>122.1448152053802</c:v>
                </c:pt>
                <c:pt idx="187">
                  <c:v>124.0543887769029</c:v>
                </c:pt>
                <c:pt idx="188">
                  <c:v>125.9392947594058</c:v>
                </c:pt>
                <c:pt idx="189">
                  <c:v>127.7983426058703</c:v>
                </c:pt>
                <c:pt idx="190">
                  <c:v>129.630358101831</c:v>
                </c:pt>
                <c:pt idx="191">
                  <c:v>131.4341841070342</c:v>
                </c:pt>
                <c:pt idx="192">
                  <c:v>133.2086812863131</c:v>
                </c:pt>
                <c:pt idx="193">
                  <c:v>134.9527288292155</c:v>
                </c:pt>
                <c:pt idx="194">
                  <c:v>136.6652251579326</c:v>
                </c:pt>
                <c:pt idx="195">
                  <c:v>138.3450886230785</c:v>
                </c:pt>
                <c:pt idx="196">
                  <c:v>139.9912581868834</c:v>
                </c:pt>
                <c:pt idx="197">
                  <c:v>141.6026940933679</c:v>
                </c:pt>
                <c:pt idx="198">
                  <c:v>143.1783785250747</c:v>
                </c:pt>
                <c:pt idx="199">
                  <c:v>144.7173162459447</c:v>
                </c:pt>
                <c:pt idx="200">
                  <c:v>146.2185352299286</c:v>
                </c:pt>
                <c:pt idx="201">
                  <c:v>147.68108727494</c:v>
                </c:pt>
                <c:pt idx="202">
                  <c:v>149.1040486017597</c:v>
                </c:pt>
                <c:pt idx="203">
                  <c:v>150.4865204375148</c:v>
                </c:pt>
                <c:pt idx="204">
                  <c:v>151.8276295833628</c:v>
                </c:pt>
                <c:pt idx="205">
                  <c:v>153.1265289660225</c:v>
                </c:pt>
                <c:pt idx="206">
                  <c:v>154.3823981728042</c:v>
                </c:pt>
                <c:pt idx="207">
                  <c:v>155.5944439697993</c:v>
                </c:pt>
                <c:pt idx="208">
                  <c:v>156.7619008029041</c:v>
                </c:pt>
                <c:pt idx="209">
                  <c:v>157.8840312813602</c:v>
                </c:pt>
                <c:pt idx="210">
                  <c:v>158.9601266435065</c:v>
                </c:pt>
                <c:pt idx="211">
                  <c:v>159.9895072044477</c:v>
                </c:pt>
                <c:pt idx="212">
                  <c:v>160.9715227853585</c:v>
                </c:pt>
                <c:pt idx="213">
                  <c:v>161.90555312415</c:v>
                </c:pt>
                <c:pt idx="214">
                  <c:v>162.7910082672408</c:v>
                </c:pt>
                <c:pt idx="215">
                  <c:v>163.6273289421842</c:v>
                </c:pt>
                <c:pt idx="216">
                  <c:v>164.4139869109167</c:v>
                </c:pt>
                <c:pt idx="217">
                  <c:v>165.1504853034046</c:v>
                </c:pt>
                <c:pt idx="218">
                  <c:v>165.8363589314774</c:v>
                </c:pt>
                <c:pt idx="219">
                  <c:v>166.4711745826511</c:v>
                </c:pt>
                <c:pt idx="220">
                  <c:v>167.0545312937541</c:v>
                </c:pt>
                <c:pt idx="221">
                  <c:v>167.5860606041843</c:v>
                </c:pt>
                <c:pt idx="222">
                  <c:v>168.0654267886369</c:v>
                </c:pt>
                <c:pt idx="223">
                  <c:v>168.4923270691553</c:v>
                </c:pt>
                <c:pt idx="224">
                  <c:v>168.8664918063723</c:v>
                </c:pt>
                <c:pt idx="225">
                  <c:v>169.1876846698204</c:v>
                </c:pt>
                <c:pt idx="226">
                  <c:v>169.4557027872026</c:v>
                </c:pt>
                <c:pt idx="227">
                  <c:v>169.6703768725316</c:v>
                </c:pt>
                <c:pt idx="228">
                  <c:v>169.8315713330539</c:v>
                </c:pt>
                <c:pt idx="229">
                  <c:v>169.9391843548932</c:v>
                </c:pt>
                <c:pt idx="230">
                  <c:v>169.9931479673584</c:v>
                </c:pt>
                <c:pt idx="231">
                  <c:v>169.9934280858753</c:v>
                </c:pt>
                <c:pt idx="232">
                  <c:v>169.940024533515</c:v>
                </c:pt>
                <c:pt idx="233">
                  <c:v>169.8329710411059</c:v>
                </c:pt>
                <c:pt idx="234">
                  <c:v>169.6723352259281</c:v>
                </c:pt>
                <c:pt idx="235">
                  <c:v>169.4582185490057</c:v>
                </c:pt>
                <c:pt idx="236">
                  <c:v>169.1907562510208</c:v>
                </c:pt>
                <c:pt idx="237">
                  <c:v>168.8701172668937</c:v>
                </c:pt>
                <c:pt idx="238">
                  <c:v>168.4965041190791</c:v>
                </c:pt>
                <c:pt idx="239">
                  <c:v>168.0701527896488</c:v>
                </c:pt>
                <c:pt idx="240">
                  <c:v>167.5913325712409</c:v>
                </c:pt>
                <c:pt idx="241">
                  <c:v>167.0603458969678</c:v>
                </c:pt>
                <c:pt idx="242">
                  <c:v>166.477528149394</c:v>
                </c:pt>
                <c:pt idx="243">
                  <c:v>165.8432474487005</c:v>
                </c:pt>
                <c:pt idx="244">
                  <c:v>165.1579044201729</c:v>
                </c:pt>
                <c:pt idx="245">
                  <c:v>164.421931941157</c:v>
                </c:pt>
                <c:pt idx="246">
                  <c:v>163.635794867645</c:v>
                </c:pt>
                <c:pt idx="247">
                  <c:v>162.7999897406621</c:v>
                </c:pt>
                <c:pt idx="248">
                  <c:v>161.9150444726408</c:v>
                </c:pt>
                <c:pt idx="249">
                  <c:v>160.9815180139796</c:v>
                </c:pt>
                <c:pt idx="250">
                  <c:v>159.9999999999986</c:v>
                </c:pt>
                <c:pt idx="251">
                  <c:v>158.9711103785125</c:v>
                </c:pt>
                <c:pt idx="252">
                  <c:v>157.895499018259</c:v>
                </c:pt>
                <c:pt idx="253">
                  <c:v>156.7738452984271</c:v>
                </c:pt>
                <c:pt idx="254">
                  <c:v>155.6068576795472</c:v>
                </c:pt>
                <c:pt idx="255">
                  <c:v>154.3952732560119</c:v>
                </c:pt>
                <c:pt idx="256">
                  <c:v>153.1398572905114</c:v>
                </c:pt>
                <c:pt idx="257">
                  <c:v>151.8414027306774</c:v>
                </c:pt>
                <c:pt idx="258">
                  <c:v>150.5007297082402</c:v>
                </c:pt>
                <c:pt idx="259">
                  <c:v>149.1186850210159</c:v>
                </c:pt>
                <c:pt idx="260">
                  <c:v>147.696141598051</c:v>
                </c:pt>
                <c:pt idx="261">
                  <c:v>146.2339979482612</c:v>
                </c:pt>
                <c:pt idx="262">
                  <c:v>144.7331775929146</c:v>
                </c:pt>
                <c:pt idx="263">
                  <c:v>143.1946284823151</c:v>
                </c:pt>
                <c:pt idx="264">
                  <c:v>141.6193223970575</c:v>
                </c:pt>
                <c:pt idx="265">
                  <c:v>140.0082543342293</c:v>
                </c:pt>
                <c:pt idx="266">
                  <c:v>138.3624418789496</c:v>
                </c:pt>
                <c:pt idx="267">
                  <c:v>136.6829245616407</c:v>
                </c:pt>
                <c:pt idx="268">
                  <c:v>134.9707632014378</c:v>
                </c:pt>
                <c:pt idx="269">
                  <c:v>133.2270392361536</c:v>
                </c:pt>
                <c:pt idx="270">
                  <c:v>131.4528540392183</c:v>
                </c:pt>
                <c:pt idx="271">
                  <c:v>129.6493282240293</c:v>
                </c:pt>
                <c:pt idx="272">
                  <c:v>127.8176009361471</c:v>
                </c:pt>
                <c:pt idx="273">
                  <c:v>125.9588291337869</c:v>
                </c:pt>
                <c:pt idx="274">
                  <c:v>124.0741868570587</c:v>
                </c:pt>
                <c:pt idx="275">
                  <c:v>122.164864486419</c:v>
                </c:pt>
                <c:pt idx="276">
                  <c:v>120.2320679908003</c:v>
                </c:pt>
                <c:pt idx="277">
                  <c:v>118.2770181658955</c:v>
                </c:pt>
                <c:pt idx="278">
                  <c:v>116.3009498630775</c:v>
                </c:pt>
                <c:pt idx="279">
                  <c:v>114.3051112094403</c:v>
                </c:pt>
                <c:pt idx="280">
                  <c:v>112.2907628194549</c:v>
                </c:pt>
                <c:pt idx="281">
                  <c:v>110.259176998739</c:v>
                </c:pt>
                <c:pt idx="282">
                  <c:v>108.2116369404407</c:v>
                </c:pt>
                <c:pt idx="283">
                  <c:v>106.1494359147464</c:v>
                </c:pt>
                <c:pt idx="284">
                  <c:v>104.073876452024</c:v>
                </c:pt>
                <c:pt idx="285">
                  <c:v>101.9862695201166</c:v>
                </c:pt>
                <c:pt idx="286">
                  <c:v>99.8879336963067</c:v>
                </c:pt>
                <c:pt idx="287">
                  <c:v>97.78019433447524</c:v>
                </c:pt>
                <c:pt idx="288">
                  <c:v>95.66438272797903</c:v>
                </c:pt>
                <c:pt idx="289">
                  <c:v>93.54183526877788</c:v>
                </c:pt>
                <c:pt idx="290">
                  <c:v>91.41389260334044</c:v>
                </c:pt>
                <c:pt idx="291">
                  <c:v>89.28189878586316</c:v>
                </c:pt>
                <c:pt idx="292">
                  <c:v>87.1472004293371</c:v>
                </c:pt>
                <c:pt idx="293">
                  <c:v>85.01114585499804</c:v>
                </c:pt>
                <c:pt idx="294">
                  <c:v>82.87508424069804</c:v>
                </c:pt>
                <c:pt idx="295">
                  <c:v>80.74036476873585</c:v>
                </c:pt>
                <c:pt idx="296">
                  <c:v>78.60833577368417</c:v>
                </c:pt>
                <c:pt idx="297">
                  <c:v>76.48034389075292</c:v>
                </c:pt>
                <c:pt idx="298">
                  <c:v>74.35773320522545</c:v>
                </c:pt>
                <c:pt idx="299">
                  <c:v>72.24184440350558</c:v>
                </c:pt>
                <c:pt idx="300">
                  <c:v>70.13401392631105</c:v>
                </c:pt>
                <c:pt idx="301">
                  <c:v>68.03557312454933</c:v>
                </c:pt>
                <c:pt idx="302">
                  <c:v>65.94784741840746</c:v>
                </c:pt>
                <c:pt idx="303">
                  <c:v>63.87215546018854</c:v>
                </c:pt>
                <c:pt idx="304">
                  <c:v>61.80980830142253</c:v>
                </c:pt>
                <c:pt idx="305">
                  <c:v>59.76210856477798</c:v>
                </c:pt>
                <c:pt idx="306">
                  <c:v>57.73034962129775</c:v>
                </c:pt>
                <c:pt idx="307">
                  <c:v>55.715814773478</c:v>
                </c:pt>
                <c:pt idx="308">
                  <c:v>53.71977644470702</c:v>
                </c:pt>
                <c:pt idx="309">
                  <c:v>51.7434953755751</c:v>
                </c:pt>
                <c:pt idx="310">
                  <c:v>49.78821982756392</c:v>
                </c:pt>
                <c:pt idx="311">
                  <c:v>47.85518479461783</c:v>
                </c:pt>
                <c:pt idx="312">
                  <c:v>45.94561122309513</c:v>
                </c:pt>
                <c:pt idx="313">
                  <c:v>44.06070524059225</c:v>
                </c:pt>
                <c:pt idx="314">
                  <c:v>42.20165739412774</c:v>
                </c:pt>
                <c:pt idx="315">
                  <c:v>40.36964189816708</c:v>
                </c:pt>
                <c:pt idx="316">
                  <c:v>38.56581589296384</c:v>
                </c:pt>
                <c:pt idx="317">
                  <c:v>36.79131871368506</c:v>
                </c:pt>
                <c:pt idx="318">
                  <c:v>35.04727117078267</c:v>
                </c:pt>
                <c:pt idx="319">
                  <c:v>33.33477484206563</c:v>
                </c:pt>
                <c:pt idx="320">
                  <c:v>31.65491137691978</c:v>
                </c:pt>
                <c:pt idx="321">
                  <c:v>30.00874181311489</c:v>
                </c:pt>
                <c:pt idx="322">
                  <c:v>28.39730590663048</c:v>
                </c:pt>
                <c:pt idx="323">
                  <c:v>26.82162147492362</c:v>
                </c:pt>
                <c:pt idx="324">
                  <c:v>25.28268375405366</c:v>
                </c:pt>
                <c:pt idx="325">
                  <c:v>23.78146477006977</c:v>
                </c:pt>
                <c:pt idx="326">
                  <c:v>22.31891272505846</c:v>
                </c:pt>
                <c:pt idx="327">
                  <c:v>20.89595139823882</c:v>
                </c:pt>
                <c:pt idx="328">
                  <c:v>19.51347956248378</c:v>
                </c:pt>
                <c:pt idx="329">
                  <c:v>18.17237041663585</c:v>
                </c:pt>
                <c:pt idx="330">
                  <c:v>16.87347103397611</c:v>
                </c:pt>
                <c:pt idx="331">
                  <c:v>15.61760182719444</c:v>
                </c:pt>
                <c:pt idx="332">
                  <c:v>14.40555603019943</c:v>
                </c:pt>
                <c:pt idx="333">
                  <c:v>13.23809919709469</c:v>
                </c:pt>
                <c:pt idx="334">
                  <c:v>12.11596871863859</c:v>
                </c:pt>
                <c:pt idx="335">
                  <c:v>11.03987335649241</c:v>
                </c:pt>
                <c:pt idx="336">
                  <c:v>10.01049279555125</c:v>
                </c:pt>
                <c:pt idx="337">
                  <c:v>9.028477214640517</c:v>
                </c:pt>
                <c:pt idx="338">
                  <c:v>8.09444687584906</c:v>
                </c:pt>
                <c:pt idx="339">
                  <c:v>7.208991732758306</c:v>
                </c:pt>
                <c:pt idx="340">
                  <c:v>6.372671057814943</c:v>
                </c:pt>
                <c:pt idx="341">
                  <c:v>5.586013089082455</c:v>
                </c:pt>
                <c:pt idx="342">
                  <c:v>4.849514696594656</c:v>
                </c:pt>
                <c:pt idx="343">
                  <c:v>4.163641068521901</c:v>
                </c:pt>
                <c:pt idx="344">
                  <c:v>3.528825417348289</c:v>
                </c:pt>
                <c:pt idx="345">
                  <c:v>2.945468706245355</c:v>
                </c:pt>
                <c:pt idx="346">
                  <c:v>2.413939395815153</c:v>
                </c:pt>
                <c:pt idx="347">
                  <c:v>1.934573211362628</c:v>
                </c:pt>
                <c:pt idx="348">
                  <c:v>1.507672930844328</c:v>
                </c:pt>
                <c:pt idx="349">
                  <c:v>1.133508193627354</c:v>
                </c:pt>
                <c:pt idx="350">
                  <c:v>0.812315330179354</c:v>
                </c:pt>
                <c:pt idx="351">
                  <c:v>0.544297212797137</c:v>
                </c:pt>
                <c:pt idx="352">
                  <c:v>0.329623127468181</c:v>
                </c:pt>
                <c:pt idx="353">
                  <c:v>0.168428666945976</c:v>
                </c:pt>
                <c:pt idx="354">
                  <c:v>0.0608156451067328</c:v>
                </c:pt>
                <c:pt idx="355">
                  <c:v>0.00685203264155767</c:v>
                </c:pt>
                <c:pt idx="356">
                  <c:v>0.00657191412470753</c:v>
                </c:pt>
                <c:pt idx="357">
                  <c:v>0.0599754664850415</c:v>
                </c:pt>
                <c:pt idx="358">
                  <c:v>0.167028958894269</c:v>
                </c:pt>
                <c:pt idx="359">
                  <c:v>0.327664774072064</c:v>
                </c:pt>
                <c:pt idx="360">
                  <c:v>0.541781450994589</c:v>
                </c:pt>
                <c:pt idx="361">
                  <c:v>0.809243748979451</c:v>
                </c:pt>
                <c:pt idx="362">
                  <c:v>1.129882733106617</c:v>
                </c:pt>
                <c:pt idx="363">
                  <c:v>1.503495880921327</c:v>
                </c:pt>
                <c:pt idx="364">
                  <c:v>1.929847210351623</c:v>
                </c:pt>
                <c:pt idx="365">
                  <c:v>2.408667428759677</c:v>
                </c:pt>
                <c:pt idx="366">
                  <c:v>2.939654103032797</c:v>
                </c:pt>
                <c:pt idx="367">
                  <c:v>3.522471850606665</c:v>
                </c:pt>
                <c:pt idx="368">
                  <c:v>4.156752551300142</c:v>
                </c:pt>
                <c:pt idx="369">
                  <c:v>4.842095579827882</c:v>
                </c:pt>
                <c:pt idx="370">
                  <c:v>5.578068058843838</c:v>
                </c:pt>
                <c:pt idx="371">
                  <c:v>6.364205132355865</c:v>
                </c:pt>
                <c:pt idx="372">
                  <c:v>7.200010259338746</c:v>
                </c:pt>
                <c:pt idx="373">
                  <c:v>8.084955527360131</c:v>
                </c:pt>
                <c:pt idx="374">
                  <c:v>9.018481986021355</c:v>
                </c:pt>
                <c:pt idx="375">
                  <c:v>10.00000000000248</c:v>
                </c:pt>
                <c:pt idx="376">
                  <c:v>11.0288896214886</c:v>
                </c:pt>
                <c:pt idx="377">
                  <c:v>12.1045009817422</c:v>
                </c:pt>
                <c:pt idx="378">
                  <c:v>13.22615470157411</c:v>
                </c:pt>
                <c:pt idx="379">
                  <c:v>14.39314232045405</c:v>
                </c:pt>
                <c:pt idx="380">
                  <c:v>15.60472674398943</c:v>
                </c:pt>
                <c:pt idx="381">
                  <c:v>16.86014270948994</c:v>
                </c:pt>
                <c:pt idx="382">
                  <c:v>18.15859726932397</c:v>
                </c:pt>
                <c:pt idx="383">
                  <c:v>19.49927029176121</c:v>
                </c:pt>
                <c:pt idx="384">
                  <c:v>20.88131497898552</c:v>
                </c:pt>
                <c:pt idx="385">
                  <c:v>22.30385840195053</c:v>
                </c:pt>
                <c:pt idx="386">
                  <c:v>23.76600205174035</c:v>
                </c:pt>
                <c:pt idx="387">
                  <c:v>25.26682240708707</c:v>
                </c:pt>
                <c:pt idx="388">
                  <c:v>26.80537151768657</c:v>
                </c:pt>
                <c:pt idx="389">
                  <c:v>28.38067760294424</c:v>
                </c:pt>
                <c:pt idx="390">
                  <c:v>29.99174566577249</c:v>
                </c:pt>
                <c:pt idx="391">
                  <c:v>31.63755812105214</c:v>
                </c:pt>
                <c:pt idx="392">
                  <c:v>33.31707543836112</c:v>
                </c:pt>
                <c:pt idx="393">
                  <c:v>35.029236798564</c:v>
                </c:pt>
                <c:pt idx="394">
                  <c:v>36.7729607638483</c:v>
                </c:pt>
                <c:pt idx="395">
                  <c:v>38.54714596078355</c:v>
                </c:pt>
                <c:pt idx="396">
                  <c:v>40.35067177597259</c:v>
                </c:pt>
                <c:pt idx="397">
                  <c:v>42.18239906385482</c:v>
                </c:pt>
                <c:pt idx="398">
                  <c:v>44.04117086621511</c:v>
                </c:pt>
                <c:pt idx="399">
                  <c:v>45.92581314294327</c:v>
                </c:pt>
                <c:pt idx="400">
                  <c:v>47.835135513583</c:v>
                </c:pt>
                <c:pt idx="401">
                  <c:v>49.76793200920178</c:v>
                </c:pt>
                <c:pt idx="402">
                  <c:v>51.72298183410654</c:v>
                </c:pt>
                <c:pt idx="403">
                  <c:v>53.69905013692456</c:v>
                </c:pt>
                <c:pt idx="404">
                  <c:v>55.69488879056184</c:v>
                </c:pt>
                <c:pt idx="405">
                  <c:v>57.70923718054718</c:v>
                </c:pt>
                <c:pt idx="406">
                  <c:v>59.74082300126314</c:v>
                </c:pt>
                <c:pt idx="407">
                  <c:v>61.78836305956153</c:v>
                </c:pt>
                <c:pt idx="408">
                  <c:v>63.85056408525581</c:v>
                </c:pt>
                <c:pt idx="409">
                  <c:v>65.92612354797816</c:v>
                </c:pt>
                <c:pt idx="410">
                  <c:v>68.01373047988561</c:v>
                </c:pt>
                <c:pt idx="411">
                  <c:v>70.11206630369549</c:v>
                </c:pt>
                <c:pt idx="412">
                  <c:v>72.219805665527</c:v>
                </c:pt>
                <c:pt idx="413">
                  <c:v>74.33561727202319</c:v>
                </c:pt>
                <c:pt idx="414">
                  <c:v>76.45816473122434</c:v>
                </c:pt>
                <c:pt idx="415">
                  <c:v>78.58610739666184</c:v>
                </c:pt>
                <c:pt idx="416">
                  <c:v>80.7181012141391</c:v>
                </c:pt>
                <c:pt idx="417">
                  <c:v>82.8527995706652</c:v>
                </c:pt>
                <c:pt idx="418">
                  <c:v>84.98885414500424</c:v>
                </c:pt>
                <c:pt idx="419">
                  <c:v>87.12491575930421</c:v>
                </c:pt>
                <c:pt idx="420">
                  <c:v>89.2596352312664</c:v>
                </c:pt>
                <c:pt idx="421">
                  <c:v>91.39166422631808</c:v>
                </c:pt>
                <c:pt idx="422">
                  <c:v>93.51965610924932</c:v>
                </c:pt>
                <c:pt idx="423">
                  <c:v>95.64226679477677</c:v>
                </c:pt>
                <c:pt idx="424">
                  <c:v>97.75815559649669</c:v>
                </c:pt>
                <c:pt idx="425">
                  <c:v>99.86598607369116</c:v>
                </c:pt>
                <c:pt idx="426">
                  <c:v>101.9644268754529</c:v>
                </c:pt>
                <c:pt idx="427">
                  <c:v>104.0521525815947</c:v>
                </c:pt>
                <c:pt idx="428">
                  <c:v>106.1278445398136</c:v>
                </c:pt>
                <c:pt idx="429">
                  <c:v>108.1901916985796</c:v>
                </c:pt>
                <c:pt idx="430">
                  <c:v>110.2378914352242</c:v>
                </c:pt>
                <c:pt idx="431">
                  <c:v>112.2696503787044</c:v>
                </c:pt>
                <c:pt idx="432">
                  <c:v>114.2841852265241</c:v>
                </c:pt>
                <c:pt idx="433">
                  <c:v>116.2802235552951</c:v>
                </c:pt>
                <c:pt idx="434">
                  <c:v>118.256504624427</c:v>
                </c:pt>
                <c:pt idx="435">
                  <c:v>120.2117801724381</c:v>
                </c:pt>
                <c:pt idx="436">
                  <c:v>122.1448152053842</c:v>
                </c:pt>
                <c:pt idx="437">
                  <c:v>124.0543887769068</c:v>
                </c:pt>
                <c:pt idx="438">
                  <c:v>125.9392947594097</c:v>
                </c:pt>
                <c:pt idx="439">
                  <c:v>127.7983426058742</c:v>
                </c:pt>
                <c:pt idx="440">
                  <c:v>129.6303581018348</c:v>
                </c:pt>
                <c:pt idx="441">
                  <c:v>131.434184107038</c:v>
                </c:pt>
                <c:pt idx="442">
                  <c:v>133.2086812863168</c:v>
                </c:pt>
                <c:pt idx="443">
                  <c:v>134.9527288292191</c:v>
                </c:pt>
                <c:pt idx="444">
                  <c:v>136.6652251579362</c:v>
                </c:pt>
                <c:pt idx="445">
                  <c:v>138.345088623082</c:v>
                </c:pt>
                <c:pt idx="446">
                  <c:v>139.9912581868868</c:v>
                </c:pt>
                <c:pt idx="447">
                  <c:v>141.6026940933712</c:v>
                </c:pt>
                <c:pt idx="448">
                  <c:v>143.178378525078</c:v>
                </c:pt>
                <c:pt idx="449">
                  <c:v>144.717316245948</c:v>
                </c:pt>
                <c:pt idx="450">
                  <c:v>146.2185352299318</c:v>
                </c:pt>
                <c:pt idx="451">
                  <c:v>147.6810872749431</c:v>
                </c:pt>
                <c:pt idx="452">
                  <c:v>149.1040486017627</c:v>
                </c:pt>
                <c:pt idx="453">
                  <c:v>150.4865204375176</c:v>
                </c:pt>
                <c:pt idx="454">
                  <c:v>151.8276295833655</c:v>
                </c:pt>
                <c:pt idx="455">
                  <c:v>153.1265289660252</c:v>
                </c:pt>
                <c:pt idx="456">
                  <c:v>154.3823981728069</c:v>
                </c:pt>
                <c:pt idx="457">
                  <c:v>155.5944439698018</c:v>
                </c:pt>
                <c:pt idx="458">
                  <c:v>156.7619008029065</c:v>
                </c:pt>
                <c:pt idx="459">
                  <c:v>157.8840312813626</c:v>
                </c:pt>
                <c:pt idx="460">
                  <c:v>158.9601266435087</c:v>
                </c:pt>
                <c:pt idx="461">
                  <c:v>159.9895072044498</c:v>
                </c:pt>
                <c:pt idx="462">
                  <c:v>160.9715227853605</c:v>
                </c:pt>
                <c:pt idx="463">
                  <c:v>161.9055531241519</c:v>
                </c:pt>
                <c:pt idx="464">
                  <c:v>162.7910082672426</c:v>
                </c:pt>
                <c:pt idx="465">
                  <c:v>163.627328942186</c:v>
                </c:pt>
                <c:pt idx="466">
                  <c:v>164.4139869109183</c:v>
                </c:pt>
                <c:pt idx="467">
                  <c:v>165.1504853034061</c:v>
                </c:pt>
                <c:pt idx="468">
                  <c:v>165.8363589314788</c:v>
                </c:pt>
                <c:pt idx="469">
                  <c:v>166.4711745826524</c:v>
                </c:pt>
                <c:pt idx="470">
                  <c:v>167.0545312937552</c:v>
                </c:pt>
                <c:pt idx="471">
                  <c:v>167.5860606041854</c:v>
                </c:pt>
                <c:pt idx="472">
                  <c:v>168.0654267886378</c:v>
                </c:pt>
                <c:pt idx="473">
                  <c:v>168.4923270691561</c:v>
                </c:pt>
                <c:pt idx="474">
                  <c:v>168.866491806373</c:v>
                </c:pt>
                <c:pt idx="475">
                  <c:v>169.187684669821</c:v>
                </c:pt>
                <c:pt idx="476">
                  <c:v>169.4557027872031</c:v>
                </c:pt>
                <c:pt idx="477">
                  <c:v>169.6703768725321</c:v>
                </c:pt>
                <c:pt idx="478">
                  <c:v>169.8315713330542</c:v>
                </c:pt>
                <c:pt idx="479">
                  <c:v>169.9391843548933</c:v>
                </c:pt>
                <c:pt idx="480">
                  <c:v>169.9931479673585</c:v>
                </c:pt>
                <c:pt idx="481">
                  <c:v>169.9934280858753</c:v>
                </c:pt>
                <c:pt idx="482">
                  <c:v>169.9400245335149</c:v>
                </c:pt>
                <c:pt idx="483">
                  <c:v>169.8329710411056</c:v>
                </c:pt>
                <c:pt idx="484">
                  <c:v>169.6723352259278</c:v>
                </c:pt>
                <c:pt idx="485">
                  <c:v>169.4582185490051</c:v>
                </c:pt>
                <c:pt idx="486">
                  <c:v>169.1907562510202</c:v>
                </c:pt>
                <c:pt idx="487">
                  <c:v>168.870117266893</c:v>
                </c:pt>
                <c:pt idx="488">
                  <c:v>168.4965041190782</c:v>
                </c:pt>
                <c:pt idx="489">
                  <c:v>168.0701527896479</c:v>
                </c:pt>
                <c:pt idx="490">
                  <c:v>167.5913325712398</c:v>
                </c:pt>
                <c:pt idx="491">
                  <c:v>167.0603458969666</c:v>
                </c:pt>
                <c:pt idx="492">
                  <c:v>166.4775281493927</c:v>
                </c:pt>
                <c:pt idx="493">
                  <c:v>165.8432474486991</c:v>
                </c:pt>
                <c:pt idx="494">
                  <c:v>165.1579044201713</c:v>
                </c:pt>
                <c:pt idx="495">
                  <c:v>164.4219319411553</c:v>
                </c:pt>
                <c:pt idx="496">
                  <c:v>163.6357948676433</c:v>
                </c:pt>
                <c:pt idx="497">
                  <c:v>162.7999897406604</c:v>
                </c:pt>
                <c:pt idx="498">
                  <c:v>161.915044472639</c:v>
                </c:pt>
                <c:pt idx="499">
                  <c:v>160.9815180139776</c:v>
                </c:pt>
                <c:pt idx="500">
                  <c:v>159.9999999999965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'Analytical Steps'!$E$1</c:f>
              <c:strCache>
                <c:ptCount val="1"/>
                <c:pt idx="0">
                  <c:v>Potential Energy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Steps'!$E$2:$E$502</c:f>
              <c:numCache>
                <c:formatCode>General</c:formatCode>
                <c:ptCount val="501"/>
                <c:pt idx="0">
                  <c:v>9.999999999999998</c:v>
                </c:pt>
                <c:pt idx="1">
                  <c:v>11.02888962148599</c:v>
                </c:pt>
                <c:pt idx="2">
                  <c:v>12.10450098173947</c:v>
                </c:pt>
                <c:pt idx="3">
                  <c:v>13.22615470157126</c:v>
                </c:pt>
                <c:pt idx="4">
                  <c:v>14.39314232045108</c:v>
                </c:pt>
                <c:pt idx="5">
                  <c:v>15.60472674398633</c:v>
                </c:pt>
                <c:pt idx="6">
                  <c:v>16.86014270948672</c:v>
                </c:pt>
                <c:pt idx="7">
                  <c:v>18.15859726932063</c:v>
                </c:pt>
                <c:pt idx="8">
                  <c:v>19.49927029175776</c:v>
                </c:pt>
                <c:pt idx="9">
                  <c:v>20.88131497898196</c:v>
                </c:pt>
                <c:pt idx="10">
                  <c:v>22.30385840194685</c:v>
                </c:pt>
                <c:pt idx="11">
                  <c:v>23.76600205173656</c:v>
                </c:pt>
                <c:pt idx="12">
                  <c:v>25.26682240708316</c:v>
                </c:pt>
                <c:pt idx="13">
                  <c:v>26.80537151768254</c:v>
                </c:pt>
                <c:pt idx="14">
                  <c:v>28.38067760294011</c:v>
                </c:pt>
                <c:pt idx="15">
                  <c:v>29.99174566576825</c:v>
                </c:pt>
                <c:pt idx="16">
                  <c:v>31.63755812104781</c:v>
                </c:pt>
                <c:pt idx="17">
                  <c:v>33.31707543835667</c:v>
                </c:pt>
                <c:pt idx="18">
                  <c:v>35.02923679855946</c:v>
                </c:pt>
                <c:pt idx="19">
                  <c:v>36.77296076384366</c:v>
                </c:pt>
                <c:pt idx="20">
                  <c:v>38.54714596077883</c:v>
                </c:pt>
                <c:pt idx="21">
                  <c:v>40.35067177596777</c:v>
                </c:pt>
                <c:pt idx="22">
                  <c:v>42.18239906384994</c:v>
                </c:pt>
                <c:pt idx="23">
                  <c:v>44.04117086621012</c:v>
                </c:pt>
                <c:pt idx="24">
                  <c:v>45.9258131429382</c:v>
                </c:pt>
                <c:pt idx="25">
                  <c:v>47.83513551357783</c:v>
                </c:pt>
                <c:pt idx="26">
                  <c:v>49.76793200919656</c:v>
                </c:pt>
                <c:pt idx="27">
                  <c:v>51.72298183410124</c:v>
                </c:pt>
                <c:pt idx="28">
                  <c:v>53.69905013691916</c:v>
                </c:pt>
                <c:pt idx="29">
                  <c:v>55.69488879055638</c:v>
                </c:pt>
                <c:pt idx="30">
                  <c:v>57.70923718054167</c:v>
                </c:pt>
                <c:pt idx="31">
                  <c:v>59.74082300125755</c:v>
                </c:pt>
                <c:pt idx="32">
                  <c:v>61.78836305955587</c:v>
                </c:pt>
                <c:pt idx="33">
                  <c:v>63.85056408525011</c:v>
                </c:pt>
                <c:pt idx="34">
                  <c:v>65.92612354797238</c:v>
                </c:pt>
                <c:pt idx="35">
                  <c:v>68.01373047987983</c:v>
                </c:pt>
                <c:pt idx="36">
                  <c:v>70.11206630368967</c:v>
                </c:pt>
                <c:pt idx="37">
                  <c:v>72.21980566552112</c:v>
                </c:pt>
                <c:pt idx="38">
                  <c:v>74.33561727201727</c:v>
                </c:pt>
                <c:pt idx="39">
                  <c:v>76.45816473121837</c:v>
                </c:pt>
                <c:pt idx="40">
                  <c:v>78.58610739665583</c:v>
                </c:pt>
                <c:pt idx="41">
                  <c:v>80.71810121413308</c:v>
                </c:pt>
                <c:pt idx="42">
                  <c:v>82.85279957065913</c:v>
                </c:pt>
                <c:pt idx="43">
                  <c:v>84.98885414499815</c:v>
                </c:pt>
                <c:pt idx="44">
                  <c:v>87.12491575929811</c:v>
                </c:pt>
                <c:pt idx="45">
                  <c:v>89.25963523126031</c:v>
                </c:pt>
                <c:pt idx="46">
                  <c:v>91.39166422631197</c:v>
                </c:pt>
                <c:pt idx="47">
                  <c:v>93.5196561092432</c:v>
                </c:pt>
                <c:pt idx="48">
                  <c:v>95.64226679477064</c:v>
                </c:pt>
                <c:pt idx="49">
                  <c:v>97.75815559649054</c:v>
                </c:pt>
                <c:pt idx="50">
                  <c:v>99.86598607368506</c:v>
                </c:pt>
                <c:pt idx="51">
                  <c:v>101.9644268754468</c:v>
                </c:pt>
                <c:pt idx="52">
                  <c:v>104.0521525815886</c:v>
                </c:pt>
                <c:pt idx="53">
                  <c:v>106.1278445398076</c:v>
                </c:pt>
                <c:pt idx="54">
                  <c:v>108.1901916985736</c:v>
                </c:pt>
                <c:pt idx="55">
                  <c:v>110.2378914352182</c:v>
                </c:pt>
                <c:pt idx="56">
                  <c:v>112.2696503786984</c:v>
                </c:pt>
                <c:pt idx="57">
                  <c:v>114.2841852265182</c:v>
                </c:pt>
                <c:pt idx="58">
                  <c:v>116.2802235552892</c:v>
                </c:pt>
                <c:pt idx="59">
                  <c:v>118.2565046244211</c:v>
                </c:pt>
                <c:pt idx="60">
                  <c:v>120.2117801724323</c:v>
                </c:pt>
                <c:pt idx="61">
                  <c:v>122.1448152053784</c:v>
                </c:pt>
                <c:pt idx="62">
                  <c:v>124.0543887769011</c:v>
                </c:pt>
                <c:pt idx="63">
                  <c:v>125.939294759404</c:v>
                </c:pt>
                <c:pt idx="64">
                  <c:v>127.7983426058686</c:v>
                </c:pt>
                <c:pt idx="65">
                  <c:v>129.6303581018293</c:v>
                </c:pt>
                <c:pt idx="66">
                  <c:v>131.4341841070326</c:v>
                </c:pt>
                <c:pt idx="67">
                  <c:v>133.2086812863114</c:v>
                </c:pt>
                <c:pt idx="68">
                  <c:v>134.9527288292139</c:v>
                </c:pt>
                <c:pt idx="69">
                  <c:v>136.665225157931</c:v>
                </c:pt>
                <c:pt idx="70">
                  <c:v>138.3450886230769</c:v>
                </c:pt>
                <c:pt idx="71">
                  <c:v>139.9912581868818</c:v>
                </c:pt>
                <c:pt idx="72">
                  <c:v>141.6026940933663</c:v>
                </c:pt>
                <c:pt idx="73">
                  <c:v>143.1783785250732</c:v>
                </c:pt>
                <c:pt idx="74">
                  <c:v>144.7173162459432</c:v>
                </c:pt>
                <c:pt idx="75">
                  <c:v>146.2185352299272</c:v>
                </c:pt>
                <c:pt idx="76">
                  <c:v>147.6810872749385</c:v>
                </c:pt>
                <c:pt idx="77">
                  <c:v>149.1040486017583</c:v>
                </c:pt>
                <c:pt idx="78">
                  <c:v>150.4865204375134</c:v>
                </c:pt>
                <c:pt idx="79">
                  <c:v>151.8276295833614</c:v>
                </c:pt>
                <c:pt idx="80">
                  <c:v>153.1265289660212</c:v>
                </c:pt>
                <c:pt idx="81">
                  <c:v>154.382398172803</c:v>
                </c:pt>
                <c:pt idx="82">
                  <c:v>155.5944439697981</c:v>
                </c:pt>
                <c:pt idx="83">
                  <c:v>156.761900802903</c:v>
                </c:pt>
                <c:pt idx="84">
                  <c:v>157.8840312813591</c:v>
                </c:pt>
                <c:pt idx="85">
                  <c:v>158.9601266435054</c:v>
                </c:pt>
                <c:pt idx="86">
                  <c:v>159.9895072044466</c:v>
                </c:pt>
                <c:pt idx="87">
                  <c:v>160.9715227853574</c:v>
                </c:pt>
                <c:pt idx="88">
                  <c:v>161.905553124149</c:v>
                </c:pt>
                <c:pt idx="89">
                  <c:v>162.7910082672399</c:v>
                </c:pt>
                <c:pt idx="90">
                  <c:v>163.6273289421833</c:v>
                </c:pt>
                <c:pt idx="91">
                  <c:v>164.413986910916</c:v>
                </c:pt>
                <c:pt idx="92">
                  <c:v>165.150485303404</c:v>
                </c:pt>
                <c:pt idx="93">
                  <c:v>165.8363589314767</c:v>
                </c:pt>
                <c:pt idx="94">
                  <c:v>166.4711745826504</c:v>
                </c:pt>
                <c:pt idx="95">
                  <c:v>167.0545312937535</c:v>
                </c:pt>
                <c:pt idx="96">
                  <c:v>167.5860606041838</c:v>
                </c:pt>
                <c:pt idx="97">
                  <c:v>168.0654267886364</c:v>
                </c:pt>
                <c:pt idx="98">
                  <c:v>168.4923270691549</c:v>
                </c:pt>
                <c:pt idx="99">
                  <c:v>168.866491806372</c:v>
                </c:pt>
                <c:pt idx="100">
                  <c:v>169.18768466982</c:v>
                </c:pt>
                <c:pt idx="101">
                  <c:v>169.4557027872023</c:v>
                </c:pt>
                <c:pt idx="102">
                  <c:v>169.6703768725314</c:v>
                </c:pt>
                <c:pt idx="103">
                  <c:v>169.8315713330537</c:v>
                </c:pt>
                <c:pt idx="104">
                  <c:v>169.9391843548931</c:v>
                </c:pt>
                <c:pt idx="105">
                  <c:v>169.9931479673584</c:v>
                </c:pt>
                <c:pt idx="106">
                  <c:v>169.9934280858754</c:v>
                </c:pt>
                <c:pt idx="107">
                  <c:v>169.9400245335151</c:v>
                </c:pt>
                <c:pt idx="108">
                  <c:v>169.832971041106</c:v>
                </c:pt>
                <c:pt idx="109">
                  <c:v>169.6723352259283</c:v>
                </c:pt>
                <c:pt idx="110">
                  <c:v>169.458218549006</c:v>
                </c:pt>
                <c:pt idx="111">
                  <c:v>169.1907562510212</c:v>
                </c:pt>
                <c:pt idx="112">
                  <c:v>168.8701172668942</c:v>
                </c:pt>
                <c:pt idx="113">
                  <c:v>168.4965041190796</c:v>
                </c:pt>
                <c:pt idx="114">
                  <c:v>168.0701527896493</c:v>
                </c:pt>
                <c:pt idx="115">
                  <c:v>167.5913325712415</c:v>
                </c:pt>
                <c:pt idx="116">
                  <c:v>167.0603458969683</c:v>
                </c:pt>
                <c:pt idx="117">
                  <c:v>166.4775281493946</c:v>
                </c:pt>
                <c:pt idx="118">
                  <c:v>165.8432474487013</c:v>
                </c:pt>
                <c:pt idx="119">
                  <c:v>165.1579044201736</c:v>
                </c:pt>
                <c:pt idx="120">
                  <c:v>164.4219319411578</c:v>
                </c:pt>
                <c:pt idx="121">
                  <c:v>163.6357948676459</c:v>
                </c:pt>
                <c:pt idx="122">
                  <c:v>162.7999897406631</c:v>
                </c:pt>
                <c:pt idx="123">
                  <c:v>161.9150444726418</c:v>
                </c:pt>
                <c:pt idx="124">
                  <c:v>160.9815180139806</c:v>
                </c:pt>
                <c:pt idx="125">
                  <c:v>159.9999999999997</c:v>
                </c:pt>
                <c:pt idx="126">
                  <c:v>158.9711103785136</c:v>
                </c:pt>
                <c:pt idx="127">
                  <c:v>157.8954990182601</c:v>
                </c:pt>
                <c:pt idx="128">
                  <c:v>156.7738452984283</c:v>
                </c:pt>
                <c:pt idx="129">
                  <c:v>155.6068576795485</c:v>
                </c:pt>
                <c:pt idx="130">
                  <c:v>154.3952732560132</c:v>
                </c:pt>
                <c:pt idx="131">
                  <c:v>153.1398572905127</c:v>
                </c:pt>
                <c:pt idx="132">
                  <c:v>151.8414027306788</c:v>
                </c:pt>
                <c:pt idx="133">
                  <c:v>150.5007297082416</c:v>
                </c:pt>
                <c:pt idx="134">
                  <c:v>149.1186850210174</c:v>
                </c:pt>
                <c:pt idx="135">
                  <c:v>147.6961415980525</c:v>
                </c:pt>
                <c:pt idx="136">
                  <c:v>146.2339979482628</c:v>
                </c:pt>
                <c:pt idx="137">
                  <c:v>144.7331775929161</c:v>
                </c:pt>
                <c:pt idx="138">
                  <c:v>143.1946284823167</c:v>
                </c:pt>
                <c:pt idx="139">
                  <c:v>141.6193223970592</c:v>
                </c:pt>
                <c:pt idx="140">
                  <c:v>140.0082543342309</c:v>
                </c:pt>
                <c:pt idx="141">
                  <c:v>138.3624418789514</c:v>
                </c:pt>
                <c:pt idx="142">
                  <c:v>136.6829245616425</c:v>
                </c:pt>
                <c:pt idx="143">
                  <c:v>134.9707632014397</c:v>
                </c:pt>
                <c:pt idx="144">
                  <c:v>133.2270392361554</c:v>
                </c:pt>
                <c:pt idx="145">
                  <c:v>131.4528540392202</c:v>
                </c:pt>
                <c:pt idx="146">
                  <c:v>129.6493282240312</c:v>
                </c:pt>
                <c:pt idx="147">
                  <c:v>127.8176009361491</c:v>
                </c:pt>
                <c:pt idx="148">
                  <c:v>125.9588291337889</c:v>
                </c:pt>
                <c:pt idx="149">
                  <c:v>124.0741868570607</c:v>
                </c:pt>
                <c:pt idx="150">
                  <c:v>122.1648644864211</c:v>
                </c:pt>
                <c:pt idx="151">
                  <c:v>120.2320679908023</c:v>
                </c:pt>
                <c:pt idx="152">
                  <c:v>118.2770181658976</c:v>
                </c:pt>
                <c:pt idx="153">
                  <c:v>116.3009498630796</c:v>
                </c:pt>
                <c:pt idx="154">
                  <c:v>114.3051112094424</c:v>
                </c:pt>
                <c:pt idx="155">
                  <c:v>112.2907628194571</c:v>
                </c:pt>
                <c:pt idx="156">
                  <c:v>110.2591769987412</c:v>
                </c:pt>
                <c:pt idx="157">
                  <c:v>108.2116369404428</c:v>
                </c:pt>
                <c:pt idx="158">
                  <c:v>106.1494359147486</c:v>
                </c:pt>
                <c:pt idx="159">
                  <c:v>104.0738764520262</c:v>
                </c:pt>
                <c:pt idx="160">
                  <c:v>101.9862695201188</c:v>
                </c:pt>
                <c:pt idx="161">
                  <c:v>99.88793369630892</c:v>
                </c:pt>
                <c:pt idx="162">
                  <c:v>97.78019433447745</c:v>
                </c:pt>
                <c:pt idx="163">
                  <c:v>95.66438272798129</c:v>
                </c:pt>
                <c:pt idx="164">
                  <c:v>93.54183526878014</c:v>
                </c:pt>
                <c:pt idx="165">
                  <c:v>91.41389260334265</c:v>
                </c:pt>
                <c:pt idx="166">
                  <c:v>89.2818987858654</c:v>
                </c:pt>
                <c:pt idx="167">
                  <c:v>87.1472004293393</c:v>
                </c:pt>
                <c:pt idx="168">
                  <c:v>85.01114585500026</c:v>
                </c:pt>
                <c:pt idx="169">
                  <c:v>82.87508424070032</c:v>
                </c:pt>
                <c:pt idx="170">
                  <c:v>80.74036476873807</c:v>
                </c:pt>
                <c:pt idx="171">
                  <c:v>78.60833577368641</c:v>
                </c:pt>
                <c:pt idx="172">
                  <c:v>76.48034389075517</c:v>
                </c:pt>
                <c:pt idx="173">
                  <c:v>74.35773320522771</c:v>
                </c:pt>
                <c:pt idx="174">
                  <c:v>72.2418444035078</c:v>
                </c:pt>
                <c:pt idx="175">
                  <c:v>70.13401392631328</c:v>
                </c:pt>
                <c:pt idx="176">
                  <c:v>68.03557312455153</c:v>
                </c:pt>
                <c:pt idx="177">
                  <c:v>65.94784741840968</c:v>
                </c:pt>
                <c:pt idx="178">
                  <c:v>63.87215546019072</c:v>
                </c:pt>
                <c:pt idx="179">
                  <c:v>61.80980830142468</c:v>
                </c:pt>
                <c:pt idx="180">
                  <c:v>59.76210856478012</c:v>
                </c:pt>
                <c:pt idx="181">
                  <c:v>57.73034962129988</c:v>
                </c:pt>
                <c:pt idx="182">
                  <c:v>55.71581477348012</c:v>
                </c:pt>
                <c:pt idx="183">
                  <c:v>53.71977644470911</c:v>
                </c:pt>
                <c:pt idx="184">
                  <c:v>51.74349537557717</c:v>
                </c:pt>
                <c:pt idx="185">
                  <c:v>49.78821982756596</c:v>
                </c:pt>
                <c:pt idx="186">
                  <c:v>47.85518479461984</c:v>
                </c:pt>
                <c:pt idx="187">
                  <c:v>45.94561122309714</c:v>
                </c:pt>
                <c:pt idx="188">
                  <c:v>44.06070524059423</c:v>
                </c:pt>
                <c:pt idx="189">
                  <c:v>42.20165739412968</c:v>
                </c:pt>
                <c:pt idx="190">
                  <c:v>40.369641898169</c:v>
                </c:pt>
                <c:pt idx="191">
                  <c:v>38.56581589296573</c:v>
                </c:pt>
                <c:pt idx="192">
                  <c:v>36.79131871368692</c:v>
                </c:pt>
                <c:pt idx="193">
                  <c:v>35.0472711707845</c:v>
                </c:pt>
                <c:pt idx="194">
                  <c:v>33.33477484206741</c:v>
                </c:pt>
                <c:pt idx="195">
                  <c:v>31.65491137692154</c:v>
                </c:pt>
                <c:pt idx="196">
                  <c:v>30.00874181311661</c:v>
                </c:pt>
                <c:pt idx="197">
                  <c:v>28.39730590663216</c:v>
                </c:pt>
                <c:pt idx="198">
                  <c:v>26.82162147492527</c:v>
                </c:pt>
                <c:pt idx="199">
                  <c:v>25.28268375405526</c:v>
                </c:pt>
                <c:pt idx="200">
                  <c:v>23.78146477007134</c:v>
                </c:pt>
                <c:pt idx="201">
                  <c:v>22.31891272505998</c:v>
                </c:pt>
                <c:pt idx="202">
                  <c:v>20.89595139824031</c:v>
                </c:pt>
                <c:pt idx="203">
                  <c:v>19.51347956248522</c:v>
                </c:pt>
                <c:pt idx="204">
                  <c:v>18.17237041663725</c:v>
                </c:pt>
                <c:pt idx="205">
                  <c:v>16.87347103397746</c:v>
                </c:pt>
                <c:pt idx="206">
                  <c:v>15.61760182719575</c:v>
                </c:pt>
                <c:pt idx="207">
                  <c:v>14.40555603020069</c:v>
                </c:pt>
                <c:pt idx="208">
                  <c:v>13.23809919709589</c:v>
                </c:pt>
                <c:pt idx="209">
                  <c:v>12.11596871863976</c:v>
                </c:pt>
                <c:pt idx="210">
                  <c:v>11.03987335649352</c:v>
                </c:pt>
                <c:pt idx="211">
                  <c:v>10.01049279555231</c:v>
                </c:pt>
                <c:pt idx="212">
                  <c:v>9.02847721464153</c:v>
                </c:pt>
                <c:pt idx="213">
                  <c:v>8.094446875850023</c:v>
                </c:pt>
                <c:pt idx="214">
                  <c:v>7.208991732759218</c:v>
                </c:pt>
                <c:pt idx="215">
                  <c:v>6.372671057815799</c:v>
                </c:pt>
                <c:pt idx="216">
                  <c:v>5.58601308908326</c:v>
                </c:pt>
                <c:pt idx="217">
                  <c:v>4.849514696595406</c:v>
                </c:pt>
                <c:pt idx="218">
                  <c:v>4.163641068522599</c:v>
                </c:pt>
                <c:pt idx="219">
                  <c:v>3.528825417348933</c:v>
                </c:pt>
                <c:pt idx="220">
                  <c:v>2.945468706245944</c:v>
                </c:pt>
                <c:pt idx="221">
                  <c:v>2.413939395815686</c:v>
                </c:pt>
                <c:pt idx="222">
                  <c:v>1.934573211363106</c:v>
                </c:pt>
                <c:pt idx="223">
                  <c:v>1.50767293084475</c:v>
                </c:pt>
                <c:pt idx="224">
                  <c:v>1.133508193627721</c:v>
                </c:pt>
                <c:pt idx="225">
                  <c:v>0.812315330179665</c:v>
                </c:pt>
                <c:pt idx="226">
                  <c:v>0.544297212797392</c:v>
                </c:pt>
                <c:pt idx="227">
                  <c:v>0.32962312746838</c:v>
                </c:pt>
                <c:pt idx="228">
                  <c:v>0.168428666946118</c:v>
                </c:pt>
                <c:pt idx="229">
                  <c:v>0.0608156451068181</c:v>
                </c:pt>
                <c:pt idx="230">
                  <c:v>0.0068520326415863</c:v>
                </c:pt>
                <c:pt idx="231">
                  <c:v>0.00657191412467949</c:v>
                </c:pt>
                <c:pt idx="232">
                  <c:v>0.0599754664849568</c:v>
                </c:pt>
                <c:pt idx="233">
                  <c:v>0.167028958894128</c:v>
                </c:pt>
                <c:pt idx="234">
                  <c:v>0.327664774071867</c:v>
                </c:pt>
                <c:pt idx="235">
                  <c:v>0.541781450994335</c:v>
                </c:pt>
                <c:pt idx="236">
                  <c:v>0.809243748979141</c:v>
                </c:pt>
                <c:pt idx="237">
                  <c:v>1.12988273310625</c:v>
                </c:pt>
                <c:pt idx="238">
                  <c:v>1.503495880920905</c:v>
                </c:pt>
                <c:pt idx="239">
                  <c:v>1.929847210351145</c:v>
                </c:pt>
                <c:pt idx="240">
                  <c:v>2.408667428759144</c:v>
                </c:pt>
                <c:pt idx="241">
                  <c:v>2.939654103032209</c:v>
                </c:pt>
                <c:pt idx="242">
                  <c:v>3.522471850606022</c:v>
                </c:pt>
                <c:pt idx="243">
                  <c:v>4.156752551299446</c:v>
                </c:pt>
                <c:pt idx="244">
                  <c:v>4.842095579827134</c:v>
                </c:pt>
                <c:pt idx="245">
                  <c:v>5.578068058843033</c:v>
                </c:pt>
                <c:pt idx="246">
                  <c:v>6.364205132355007</c:v>
                </c:pt>
                <c:pt idx="247">
                  <c:v>7.200010259337835</c:v>
                </c:pt>
                <c:pt idx="248">
                  <c:v>8.08495552735917</c:v>
                </c:pt>
                <c:pt idx="249">
                  <c:v>9.018481986020344</c:v>
                </c:pt>
                <c:pt idx="250">
                  <c:v>10.00000000000142</c:v>
                </c:pt>
                <c:pt idx="251">
                  <c:v>11.02888962148749</c:v>
                </c:pt>
                <c:pt idx="252">
                  <c:v>12.10450098174103</c:v>
                </c:pt>
                <c:pt idx="253">
                  <c:v>13.22615470157291</c:v>
                </c:pt>
                <c:pt idx="254">
                  <c:v>14.3931423204528</c:v>
                </c:pt>
                <c:pt idx="255">
                  <c:v>15.60472674398812</c:v>
                </c:pt>
                <c:pt idx="256">
                  <c:v>16.8601427094886</c:v>
                </c:pt>
                <c:pt idx="257">
                  <c:v>18.15859726932258</c:v>
                </c:pt>
                <c:pt idx="258">
                  <c:v>19.49927029175977</c:v>
                </c:pt>
                <c:pt idx="259">
                  <c:v>20.88131497898404</c:v>
                </c:pt>
                <c:pt idx="260">
                  <c:v>22.30385840194901</c:v>
                </c:pt>
                <c:pt idx="261">
                  <c:v>23.7660020517388</c:v>
                </c:pt>
                <c:pt idx="262">
                  <c:v>25.26682240708547</c:v>
                </c:pt>
                <c:pt idx="263">
                  <c:v>26.80537151768492</c:v>
                </c:pt>
                <c:pt idx="264">
                  <c:v>28.38067760294257</c:v>
                </c:pt>
                <c:pt idx="265">
                  <c:v>29.99174566577076</c:v>
                </c:pt>
                <c:pt idx="266">
                  <c:v>31.63755812105038</c:v>
                </c:pt>
                <c:pt idx="267">
                  <c:v>33.31707543835932</c:v>
                </c:pt>
                <c:pt idx="268">
                  <c:v>35.02923679856218</c:v>
                </c:pt>
                <c:pt idx="269">
                  <c:v>36.77296076384643</c:v>
                </c:pt>
                <c:pt idx="270">
                  <c:v>38.54714596078167</c:v>
                </c:pt>
                <c:pt idx="271">
                  <c:v>40.35067177597065</c:v>
                </c:pt>
                <c:pt idx="272">
                  <c:v>42.1823990638529</c:v>
                </c:pt>
                <c:pt idx="273">
                  <c:v>44.04117086621314</c:v>
                </c:pt>
                <c:pt idx="274">
                  <c:v>45.92581314294126</c:v>
                </c:pt>
                <c:pt idx="275">
                  <c:v>47.83513551358098</c:v>
                </c:pt>
                <c:pt idx="276">
                  <c:v>49.76793200919974</c:v>
                </c:pt>
                <c:pt idx="277">
                  <c:v>51.72298183410447</c:v>
                </c:pt>
                <c:pt idx="278">
                  <c:v>53.69905013692245</c:v>
                </c:pt>
                <c:pt idx="279">
                  <c:v>55.69488879055973</c:v>
                </c:pt>
                <c:pt idx="280">
                  <c:v>57.70923718054504</c:v>
                </c:pt>
                <c:pt idx="281">
                  <c:v>59.74082300126099</c:v>
                </c:pt>
                <c:pt idx="282">
                  <c:v>61.78836305955937</c:v>
                </c:pt>
                <c:pt idx="283">
                  <c:v>63.85056408525361</c:v>
                </c:pt>
                <c:pt idx="284">
                  <c:v>65.92612354797593</c:v>
                </c:pt>
                <c:pt idx="285">
                  <c:v>68.01373047988341</c:v>
                </c:pt>
                <c:pt idx="286">
                  <c:v>70.1120663036933</c:v>
                </c:pt>
                <c:pt idx="287">
                  <c:v>72.21980566552478</c:v>
                </c:pt>
                <c:pt idx="288">
                  <c:v>74.33561727202098</c:v>
                </c:pt>
                <c:pt idx="289">
                  <c:v>76.45816473122212</c:v>
                </c:pt>
                <c:pt idx="290">
                  <c:v>78.58610739665957</c:v>
                </c:pt>
                <c:pt idx="291">
                  <c:v>80.71810121413685</c:v>
                </c:pt>
                <c:pt idx="292">
                  <c:v>82.85279957066292</c:v>
                </c:pt>
                <c:pt idx="293">
                  <c:v>84.98885414500197</c:v>
                </c:pt>
                <c:pt idx="294">
                  <c:v>87.12491575930193</c:v>
                </c:pt>
                <c:pt idx="295">
                  <c:v>89.25963523126414</c:v>
                </c:pt>
                <c:pt idx="296">
                  <c:v>91.39166422631583</c:v>
                </c:pt>
                <c:pt idx="297">
                  <c:v>93.51965610924708</c:v>
                </c:pt>
                <c:pt idx="298">
                  <c:v>95.64226679477451</c:v>
                </c:pt>
                <c:pt idx="299">
                  <c:v>97.75815559649443</c:v>
                </c:pt>
                <c:pt idx="300">
                  <c:v>99.86598607368893</c:v>
                </c:pt>
                <c:pt idx="301">
                  <c:v>101.9644268754507</c:v>
                </c:pt>
                <c:pt idx="302">
                  <c:v>104.0521525815925</c:v>
                </c:pt>
                <c:pt idx="303">
                  <c:v>106.1278445398115</c:v>
                </c:pt>
                <c:pt idx="304">
                  <c:v>108.1901916985775</c:v>
                </c:pt>
                <c:pt idx="305">
                  <c:v>110.237891435222</c:v>
                </c:pt>
                <c:pt idx="306">
                  <c:v>112.2696503787023</c:v>
                </c:pt>
                <c:pt idx="307">
                  <c:v>114.284185226522</c:v>
                </c:pt>
                <c:pt idx="308">
                  <c:v>116.280223555293</c:v>
                </c:pt>
                <c:pt idx="309">
                  <c:v>118.2565046244249</c:v>
                </c:pt>
                <c:pt idx="310">
                  <c:v>120.2117801724361</c:v>
                </c:pt>
                <c:pt idx="311">
                  <c:v>122.1448152053822</c:v>
                </c:pt>
                <c:pt idx="312">
                  <c:v>124.0543887769049</c:v>
                </c:pt>
                <c:pt idx="313">
                  <c:v>125.9392947594078</c:v>
                </c:pt>
                <c:pt idx="314">
                  <c:v>127.7983426058722</c:v>
                </c:pt>
                <c:pt idx="315">
                  <c:v>129.6303581018329</c:v>
                </c:pt>
                <c:pt idx="316">
                  <c:v>131.4341841070361</c:v>
                </c:pt>
                <c:pt idx="317">
                  <c:v>133.2086812863149</c:v>
                </c:pt>
                <c:pt idx="318">
                  <c:v>134.9527288292173</c:v>
                </c:pt>
                <c:pt idx="319">
                  <c:v>136.6652251579343</c:v>
                </c:pt>
                <c:pt idx="320">
                  <c:v>138.3450886230802</c:v>
                </c:pt>
                <c:pt idx="321">
                  <c:v>139.9912581868851</c:v>
                </c:pt>
                <c:pt idx="322">
                  <c:v>141.6026940933696</c:v>
                </c:pt>
                <c:pt idx="323">
                  <c:v>143.1783785250764</c:v>
                </c:pt>
                <c:pt idx="324">
                  <c:v>144.7173162459464</c:v>
                </c:pt>
                <c:pt idx="325">
                  <c:v>146.2185352299302</c:v>
                </c:pt>
                <c:pt idx="326">
                  <c:v>147.6810872749415</c:v>
                </c:pt>
                <c:pt idx="327">
                  <c:v>149.1040486017611</c:v>
                </c:pt>
                <c:pt idx="328">
                  <c:v>150.4865204375162</c:v>
                </c:pt>
                <c:pt idx="329">
                  <c:v>151.8276295833641</c:v>
                </c:pt>
                <c:pt idx="330">
                  <c:v>153.1265289660239</c:v>
                </c:pt>
                <c:pt idx="331">
                  <c:v>154.3823981728055</c:v>
                </c:pt>
                <c:pt idx="332">
                  <c:v>155.5944439698006</c:v>
                </c:pt>
                <c:pt idx="333">
                  <c:v>156.7619008029053</c:v>
                </c:pt>
                <c:pt idx="334">
                  <c:v>157.8840312813614</c:v>
                </c:pt>
                <c:pt idx="335">
                  <c:v>158.9601266435076</c:v>
                </c:pt>
                <c:pt idx="336">
                  <c:v>159.9895072044488</c:v>
                </c:pt>
                <c:pt idx="337">
                  <c:v>160.9715227853595</c:v>
                </c:pt>
                <c:pt idx="338">
                  <c:v>161.905553124151</c:v>
                </c:pt>
                <c:pt idx="339">
                  <c:v>162.7910082672417</c:v>
                </c:pt>
                <c:pt idx="340">
                  <c:v>163.6273289421851</c:v>
                </c:pt>
                <c:pt idx="341">
                  <c:v>164.4139869109176</c:v>
                </c:pt>
                <c:pt idx="342">
                  <c:v>165.1504853034053</c:v>
                </c:pt>
                <c:pt idx="343">
                  <c:v>165.8363589314781</c:v>
                </c:pt>
                <c:pt idx="344">
                  <c:v>166.4711745826517</c:v>
                </c:pt>
                <c:pt idx="345">
                  <c:v>167.0545312937547</c:v>
                </c:pt>
                <c:pt idx="346">
                  <c:v>167.5860606041849</c:v>
                </c:pt>
                <c:pt idx="347">
                  <c:v>168.0654267886374</c:v>
                </c:pt>
                <c:pt idx="348">
                  <c:v>168.4923270691556</c:v>
                </c:pt>
                <c:pt idx="349">
                  <c:v>168.8664918063726</c:v>
                </c:pt>
                <c:pt idx="350">
                  <c:v>169.1876846698207</c:v>
                </c:pt>
                <c:pt idx="351">
                  <c:v>169.4557027872028</c:v>
                </c:pt>
                <c:pt idx="352">
                  <c:v>169.6703768725318</c:v>
                </c:pt>
                <c:pt idx="353">
                  <c:v>169.8315713330541</c:v>
                </c:pt>
                <c:pt idx="354">
                  <c:v>169.9391843548932</c:v>
                </c:pt>
                <c:pt idx="355">
                  <c:v>169.9931479673585</c:v>
                </c:pt>
                <c:pt idx="356">
                  <c:v>169.9934280858753</c:v>
                </c:pt>
                <c:pt idx="357">
                  <c:v>169.940024533515</c:v>
                </c:pt>
                <c:pt idx="358">
                  <c:v>169.8329710411057</c:v>
                </c:pt>
                <c:pt idx="359">
                  <c:v>169.6723352259279</c:v>
                </c:pt>
                <c:pt idx="360">
                  <c:v>169.4582185490054</c:v>
                </c:pt>
                <c:pt idx="361">
                  <c:v>169.1907562510206</c:v>
                </c:pt>
                <c:pt idx="362">
                  <c:v>168.8701172668934</c:v>
                </c:pt>
                <c:pt idx="363">
                  <c:v>168.4965041190787</c:v>
                </c:pt>
                <c:pt idx="364">
                  <c:v>168.0701527896484</c:v>
                </c:pt>
                <c:pt idx="365">
                  <c:v>167.5913325712403</c:v>
                </c:pt>
                <c:pt idx="366">
                  <c:v>167.0603458969672</c:v>
                </c:pt>
                <c:pt idx="367">
                  <c:v>166.4775281493934</c:v>
                </c:pt>
                <c:pt idx="368">
                  <c:v>165.8432474486999</c:v>
                </c:pt>
                <c:pt idx="369">
                  <c:v>165.1579044201721</c:v>
                </c:pt>
                <c:pt idx="370">
                  <c:v>164.4219319411561</c:v>
                </c:pt>
                <c:pt idx="371">
                  <c:v>163.6357948676442</c:v>
                </c:pt>
                <c:pt idx="372">
                  <c:v>162.7999897406613</c:v>
                </c:pt>
                <c:pt idx="373">
                  <c:v>161.9150444726399</c:v>
                </c:pt>
                <c:pt idx="374">
                  <c:v>160.9815180139786</c:v>
                </c:pt>
                <c:pt idx="375">
                  <c:v>159.9999999999975</c:v>
                </c:pt>
                <c:pt idx="376">
                  <c:v>158.9711103785114</c:v>
                </c:pt>
                <c:pt idx="377">
                  <c:v>157.8954990182578</c:v>
                </c:pt>
                <c:pt idx="378">
                  <c:v>156.7738452984259</c:v>
                </c:pt>
                <c:pt idx="379">
                  <c:v>155.6068576795459</c:v>
                </c:pt>
                <c:pt idx="380">
                  <c:v>154.3952732560106</c:v>
                </c:pt>
                <c:pt idx="381">
                  <c:v>153.1398572905101</c:v>
                </c:pt>
                <c:pt idx="382">
                  <c:v>151.841402730676</c:v>
                </c:pt>
                <c:pt idx="383">
                  <c:v>150.5007297082388</c:v>
                </c:pt>
                <c:pt idx="384">
                  <c:v>149.1186850210145</c:v>
                </c:pt>
                <c:pt idx="385">
                  <c:v>147.6961415980495</c:v>
                </c:pt>
                <c:pt idx="386">
                  <c:v>146.2339979482597</c:v>
                </c:pt>
                <c:pt idx="387">
                  <c:v>144.7331775929129</c:v>
                </c:pt>
                <c:pt idx="388">
                  <c:v>143.1946284823134</c:v>
                </c:pt>
                <c:pt idx="389">
                  <c:v>141.6193223970558</c:v>
                </c:pt>
                <c:pt idx="390">
                  <c:v>140.0082543342275</c:v>
                </c:pt>
                <c:pt idx="391">
                  <c:v>138.3624418789478</c:v>
                </c:pt>
                <c:pt idx="392">
                  <c:v>136.6829245616389</c:v>
                </c:pt>
                <c:pt idx="393">
                  <c:v>134.970763201436</c:v>
                </c:pt>
                <c:pt idx="394">
                  <c:v>133.2270392361517</c:v>
                </c:pt>
                <c:pt idx="395">
                  <c:v>131.4528540392164</c:v>
                </c:pt>
                <c:pt idx="396">
                  <c:v>129.6493282240274</c:v>
                </c:pt>
                <c:pt idx="397">
                  <c:v>127.8176009361452</c:v>
                </c:pt>
                <c:pt idx="398">
                  <c:v>125.9588291337849</c:v>
                </c:pt>
                <c:pt idx="399">
                  <c:v>124.0741868570568</c:v>
                </c:pt>
                <c:pt idx="400">
                  <c:v>122.164864486417</c:v>
                </c:pt>
                <c:pt idx="401">
                  <c:v>120.2320679907982</c:v>
                </c:pt>
                <c:pt idx="402">
                  <c:v>118.2770181658934</c:v>
                </c:pt>
                <c:pt idx="403">
                  <c:v>116.3009498630754</c:v>
                </c:pt>
                <c:pt idx="404">
                  <c:v>114.3051112094382</c:v>
                </c:pt>
                <c:pt idx="405">
                  <c:v>112.2907628194528</c:v>
                </c:pt>
                <c:pt idx="406">
                  <c:v>110.2591769987369</c:v>
                </c:pt>
                <c:pt idx="407">
                  <c:v>108.2116369404385</c:v>
                </c:pt>
                <c:pt idx="408">
                  <c:v>106.1494359147442</c:v>
                </c:pt>
                <c:pt idx="409">
                  <c:v>104.0738764520219</c:v>
                </c:pt>
                <c:pt idx="410">
                  <c:v>101.9862695201144</c:v>
                </c:pt>
                <c:pt idx="411">
                  <c:v>99.88793369630451</c:v>
                </c:pt>
                <c:pt idx="412">
                  <c:v>97.78019433447299</c:v>
                </c:pt>
                <c:pt idx="413">
                  <c:v>95.66438272797681</c:v>
                </c:pt>
                <c:pt idx="414">
                  <c:v>93.54183526877565</c:v>
                </c:pt>
                <c:pt idx="415">
                  <c:v>91.41389260333815</c:v>
                </c:pt>
                <c:pt idx="416">
                  <c:v>89.28189878586088</c:v>
                </c:pt>
                <c:pt idx="417">
                  <c:v>87.1472004293348</c:v>
                </c:pt>
                <c:pt idx="418">
                  <c:v>85.01114585499577</c:v>
                </c:pt>
                <c:pt idx="419">
                  <c:v>82.87508424069583</c:v>
                </c:pt>
                <c:pt idx="420">
                  <c:v>80.74036476873358</c:v>
                </c:pt>
                <c:pt idx="421">
                  <c:v>78.60833577368192</c:v>
                </c:pt>
                <c:pt idx="422">
                  <c:v>76.48034389075067</c:v>
                </c:pt>
                <c:pt idx="423">
                  <c:v>74.35773320522324</c:v>
                </c:pt>
                <c:pt idx="424">
                  <c:v>72.24184440350333</c:v>
                </c:pt>
                <c:pt idx="425">
                  <c:v>70.13401392630885</c:v>
                </c:pt>
                <c:pt idx="426">
                  <c:v>68.03557312454711</c:v>
                </c:pt>
                <c:pt idx="427">
                  <c:v>65.94784741840527</c:v>
                </c:pt>
                <c:pt idx="428">
                  <c:v>63.87215546018637</c:v>
                </c:pt>
                <c:pt idx="429">
                  <c:v>61.80980830142034</c:v>
                </c:pt>
                <c:pt idx="430">
                  <c:v>59.76210856477582</c:v>
                </c:pt>
                <c:pt idx="431">
                  <c:v>57.73034962129561</c:v>
                </c:pt>
                <c:pt idx="432">
                  <c:v>55.71581477347588</c:v>
                </c:pt>
                <c:pt idx="433">
                  <c:v>53.71977644470493</c:v>
                </c:pt>
                <c:pt idx="434">
                  <c:v>51.74349537557303</c:v>
                </c:pt>
                <c:pt idx="435">
                  <c:v>49.78821982756187</c:v>
                </c:pt>
                <c:pt idx="436">
                  <c:v>47.85518479461579</c:v>
                </c:pt>
                <c:pt idx="437">
                  <c:v>45.94561122309312</c:v>
                </c:pt>
                <c:pt idx="438">
                  <c:v>44.0607052405903</c:v>
                </c:pt>
                <c:pt idx="439">
                  <c:v>42.2016573941258</c:v>
                </c:pt>
                <c:pt idx="440">
                  <c:v>40.36964189816516</c:v>
                </c:pt>
                <c:pt idx="441">
                  <c:v>38.56581589296196</c:v>
                </c:pt>
                <c:pt idx="442">
                  <c:v>36.79131871368321</c:v>
                </c:pt>
                <c:pt idx="443">
                  <c:v>35.04727117078085</c:v>
                </c:pt>
                <c:pt idx="444">
                  <c:v>33.33477484206384</c:v>
                </c:pt>
                <c:pt idx="445">
                  <c:v>31.65491137691803</c:v>
                </c:pt>
                <c:pt idx="446">
                  <c:v>30.00874181311317</c:v>
                </c:pt>
                <c:pt idx="447">
                  <c:v>28.3973059066288</c:v>
                </c:pt>
                <c:pt idx="448">
                  <c:v>26.82162147492198</c:v>
                </c:pt>
                <c:pt idx="449">
                  <c:v>25.28268375405206</c:v>
                </c:pt>
                <c:pt idx="450">
                  <c:v>23.78146477006821</c:v>
                </c:pt>
                <c:pt idx="451">
                  <c:v>22.31891272505694</c:v>
                </c:pt>
                <c:pt idx="452">
                  <c:v>20.89595139823735</c:v>
                </c:pt>
                <c:pt idx="453">
                  <c:v>19.51347956248234</c:v>
                </c:pt>
                <c:pt idx="454">
                  <c:v>18.17237041663446</c:v>
                </c:pt>
                <c:pt idx="455">
                  <c:v>16.87347103397476</c:v>
                </c:pt>
                <c:pt idx="456">
                  <c:v>15.61760182719314</c:v>
                </c:pt>
                <c:pt idx="457">
                  <c:v>14.40555603019817</c:v>
                </c:pt>
                <c:pt idx="458">
                  <c:v>13.23809919709348</c:v>
                </c:pt>
                <c:pt idx="459">
                  <c:v>12.11596871863744</c:v>
                </c:pt>
                <c:pt idx="460">
                  <c:v>11.0398733564913</c:v>
                </c:pt>
                <c:pt idx="461">
                  <c:v>10.01049279555019</c:v>
                </c:pt>
                <c:pt idx="462">
                  <c:v>9.028477214639507</c:v>
                </c:pt>
                <c:pt idx="463">
                  <c:v>8.0944468758481</c:v>
                </c:pt>
                <c:pt idx="464">
                  <c:v>7.208991732757401</c:v>
                </c:pt>
                <c:pt idx="465">
                  <c:v>6.372671057814084</c:v>
                </c:pt>
                <c:pt idx="466">
                  <c:v>5.586013089081652</c:v>
                </c:pt>
                <c:pt idx="467">
                  <c:v>4.849514696593906</c:v>
                </c:pt>
                <c:pt idx="468">
                  <c:v>4.163641068521206</c:v>
                </c:pt>
                <c:pt idx="469">
                  <c:v>3.528825417347647</c:v>
                </c:pt>
                <c:pt idx="470">
                  <c:v>2.945468706244768</c:v>
                </c:pt>
                <c:pt idx="471">
                  <c:v>2.413939395814619</c:v>
                </c:pt>
                <c:pt idx="472">
                  <c:v>1.934573211362149</c:v>
                </c:pt>
                <c:pt idx="473">
                  <c:v>1.507672930843905</c:v>
                </c:pt>
                <c:pt idx="474">
                  <c:v>1.133508193626987</c:v>
                </c:pt>
                <c:pt idx="475">
                  <c:v>0.812315330179043</c:v>
                </c:pt>
                <c:pt idx="476">
                  <c:v>0.544297212796882</c:v>
                </c:pt>
                <c:pt idx="477">
                  <c:v>0.329623127467983</c:v>
                </c:pt>
                <c:pt idx="478">
                  <c:v>0.168428666945834</c:v>
                </c:pt>
                <c:pt idx="479">
                  <c:v>0.0608156451066476</c:v>
                </c:pt>
                <c:pt idx="480">
                  <c:v>0.00685203264152905</c:v>
                </c:pt>
                <c:pt idx="481">
                  <c:v>0.00657191412473556</c:v>
                </c:pt>
                <c:pt idx="482">
                  <c:v>0.0599754664851262</c:v>
                </c:pt>
                <c:pt idx="483">
                  <c:v>0.16702895889441</c:v>
                </c:pt>
                <c:pt idx="484">
                  <c:v>0.327664774072262</c:v>
                </c:pt>
                <c:pt idx="485">
                  <c:v>0.541781450994844</c:v>
                </c:pt>
                <c:pt idx="486">
                  <c:v>0.809243748979762</c:v>
                </c:pt>
                <c:pt idx="487">
                  <c:v>1.129882733106983</c:v>
                </c:pt>
                <c:pt idx="488">
                  <c:v>1.503495880921749</c:v>
                </c:pt>
                <c:pt idx="489">
                  <c:v>1.9298472103521</c:v>
                </c:pt>
                <c:pt idx="490">
                  <c:v>2.408667428760209</c:v>
                </c:pt>
                <c:pt idx="491">
                  <c:v>2.939654103033384</c:v>
                </c:pt>
                <c:pt idx="492">
                  <c:v>3.522471850607306</c:v>
                </c:pt>
                <c:pt idx="493">
                  <c:v>4.156752551300839</c:v>
                </c:pt>
                <c:pt idx="494">
                  <c:v>4.842095579828633</c:v>
                </c:pt>
                <c:pt idx="495">
                  <c:v>5.57806805884464</c:v>
                </c:pt>
                <c:pt idx="496">
                  <c:v>6.36420513235672</c:v>
                </c:pt>
                <c:pt idx="497">
                  <c:v>7.200010259339652</c:v>
                </c:pt>
                <c:pt idx="498">
                  <c:v>8.084955527361092</c:v>
                </c:pt>
                <c:pt idx="499">
                  <c:v>9.018481986022365</c:v>
                </c:pt>
                <c:pt idx="500">
                  <c:v>10.00000000000354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'Analytical Steps'!$F$1</c:f>
              <c:strCache>
                <c:ptCount val="1"/>
                <c:pt idx="0">
                  <c:v>Total Energy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'Analytical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'Analytical Steps'!$F$2:$F$502</c:f>
              <c:numCache>
                <c:formatCode>General</c:formatCode>
                <c:ptCount val="501"/>
                <c:pt idx="0">
                  <c:v>170.0</c:v>
                </c:pt>
                <c:pt idx="1">
                  <c:v>170.0</c:v>
                </c:pt>
                <c:pt idx="2">
                  <c:v>170.0</c:v>
                </c:pt>
                <c:pt idx="3">
                  <c:v>170.0</c:v>
                </c:pt>
                <c:pt idx="4">
                  <c:v>170.0</c:v>
                </c:pt>
                <c:pt idx="5">
                  <c:v>170.0</c:v>
                </c:pt>
                <c:pt idx="6">
                  <c:v>170.0</c:v>
                </c:pt>
                <c:pt idx="7">
                  <c:v>170.0</c:v>
                </c:pt>
                <c:pt idx="8">
                  <c:v>170.0</c:v>
                </c:pt>
                <c:pt idx="9">
                  <c:v>170.0</c:v>
                </c:pt>
                <c:pt idx="10">
                  <c:v>170.0</c:v>
                </c:pt>
                <c:pt idx="11">
                  <c:v>170.0</c:v>
                </c:pt>
                <c:pt idx="12">
                  <c:v>170.0</c:v>
                </c:pt>
                <c:pt idx="13">
                  <c:v>170.0</c:v>
                </c:pt>
                <c:pt idx="14">
                  <c:v>170.0</c:v>
                </c:pt>
                <c:pt idx="15">
                  <c:v>170.0</c:v>
                </c:pt>
                <c:pt idx="16">
                  <c:v>170.0</c:v>
                </c:pt>
                <c:pt idx="17">
                  <c:v>170.0</c:v>
                </c:pt>
                <c:pt idx="18">
                  <c:v>170.0</c:v>
                </c:pt>
                <c:pt idx="19">
                  <c:v>170.0</c:v>
                </c:pt>
                <c:pt idx="20">
                  <c:v>170.0</c:v>
                </c:pt>
                <c:pt idx="21">
                  <c:v>170.0</c:v>
                </c:pt>
                <c:pt idx="22">
                  <c:v>170.0</c:v>
                </c:pt>
                <c:pt idx="23">
                  <c:v>170.0000000000001</c:v>
                </c:pt>
                <c:pt idx="24">
                  <c:v>17</c:v>
                </c:pt>
                <c:pt idx="25">
                  <c:v>170.0</c:v>
                </c:pt>
                <c:pt idx="26">
                  <c:v>170.0</c:v>
                </c:pt>
                <c:pt idx="27">
                  <c:v>170.0</c:v>
                </c:pt>
                <c:pt idx="28">
                  <c:v>170.0</c:v>
                </c:pt>
                <c:pt idx="29">
                  <c:v>170.0</c:v>
                </c:pt>
                <c:pt idx="30">
                  <c:v>170.0</c:v>
                </c:pt>
                <c:pt idx="31">
                  <c:v>170.0</c:v>
                </c:pt>
                <c:pt idx="32">
                  <c:v>170.0</c:v>
                </c:pt>
                <c:pt idx="33">
                  <c:v>170.0</c:v>
                </c:pt>
                <c:pt idx="34">
                  <c:v>17</c:v>
                </c:pt>
                <c:pt idx="35">
                  <c:v>170.0</c:v>
                </c:pt>
                <c:pt idx="36">
                  <c:v>170.0</c:v>
                </c:pt>
                <c:pt idx="37">
                  <c:v>170.0</c:v>
                </c:pt>
                <c:pt idx="38">
                  <c:v>170.0</c:v>
                </c:pt>
                <c:pt idx="39">
                  <c:v>170.0</c:v>
                </c:pt>
                <c:pt idx="40">
                  <c:v>170.0</c:v>
                </c:pt>
                <c:pt idx="41">
                  <c:v>170.0</c:v>
                </c:pt>
                <c:pt idx="42">
                  <c:v>170.0</c:v>
                </c:pt>
                <c:pt idx="43">
                  <c:v>170.0</c:v>
                </c:pt>
                <c:pt idx="44">
                  <c:v>170.0</c:v>
                </c:pt>
                <c:pt idx="45">
                  <c:v>170.0</c:v>
                </c:pt>
                <c:pt idx="46">
                  <c:v>170.0</c:v>
                </c:pt>
                <c:pt idx="47">
                  <c:v>170.0</c:v>
                </c:pt>
                <c:pt idx="48">
                  <c:v>170.0</c:v>
                </c:pt>
                <c:pt idx="49">
                  <c:v>170.0</c:v>
                </c:pt>
                <c:pt idx="50">
                  <c:v>170.0</c:v>
                </c:pt>
                <c:pt idx="51">
                  <c:v>170.0</c:v>
                </c:pt>
                <c:pt idx="52">
                  <c:v>170.0</c:v>
                </c:pt>
                <c:pt idx="53">
                  <c:v>170.0</c:v>
                </c:pt>
                <c:pt idx="54">
                  <c:v>170.0</c:v>
                </c:pt>
                <c:pt idx="55">
                  <c:v>170.0</c:v>
                </c:pt>
                <c:pt idx="56">
                  <c:v>170.0</c:v>
                </c:pt>
                <c:pt idx="57">
                  <c:v>170.0</c:v>
                </c:pt>
                <c:pt idx="58">
                  <c:v>17</c:v>
                </c:pt>
                <c:pt idx="59">
                  <c:v>170.0</c:v>
                </c:pt>
                <c:pt idx="60">
                  <c:v>170.0</c:v>
                </c:pt>
                <c:pt idx="61">
                  <c:v>170.0</c:v>
                </c:pt>
                <c:pt idx="62">
                  <c:v>170.0</c:v>
                </c:pt>
                <c:pt idx="63">
                  <c:v>17</c:v>
                </c:pt>
                <c:pt idx="64">
                  <c:v>170.0</c:v>
                </c:pt>
                <c:pt idx="65">
                  <c:v>170.0</c:v>
                </c:pt>
                <c:pt idx="66">
                  <c:v>170.0</c:v>
                </c:pt>
                <c:pt idx="67">
                  <c:v>170.0</c:v>
                </c:pt>
                <c:pt idx="68">
                  <c:v>170.0</c:v>
                </c:pt>
                <c:pt idx="69">
                  <c:v>170.0</c:v>
                </c:pt>
                <c:pt idx="70">
                  <c:v>170.0</c:v>
                </c:pt>
                <c:pt idx="71">
                  <c:v>170.0000000000001</c:v>
                </c:pt>
                <c:pt idx="72">
                  <c:v>170.0</c:v>
                </c:pt>
                <c:pt idx="73">
                  <c:v>170.0</c:v>
                </c:pt>
                <c:pt idx="74">
                  <c:v>170.0</c:v>
                </c:pt>
                <c:pt idx="75">
                  <c:v>170.0</c:v>
                </c:pt>
                <c:pt idx="76">
                  <c:v>170.0</c:v>
                </c:pt>
                <c:pt idx="77">
                  <c:v>170.0</c:v>
                </c:pt>
                <c:pt idx="78">
                  <c:v>170.0</c:v>
                </c:pt>
                <c:pt idx="79">
                  <c:v>170.0</c:v>
                </c:pt>
                <c:pt idx="80">
                  <c:v>170.0</c:v>
                </c:pt>
                <c:pt idx="81">
                  <c:v>170.0</c:v>
                </c:pt>
                <c:pt idx="82">
                  <c:v>170.0</c:v>
                </c:pt>
                <c:pt idx="83">
                  <c:v>170.0</c:v>
                </c:pt>
                <c:pt idx="84">
                  <c:v>17</c:v>
                </c:pt>
                <c:pt idx="85">
                  <c:v>170.0</c:v>
                </c:pt>
                <c:pt idx="86">
                  <c:v>170.0</c:v>
                </c:pt>
                <c:pt idx="87">
                  <c:v>17</c:v>
                </c:pt>
                <c:pt idx="88">
                  <c:v>170.0</c:v>
                </c:pt>
                <c:pt idx="89">
                  <c:v>170.0</c:v>
                </c:pt>
                <c:pt idx="90">
                  <c:v>170.0</c:v>
                </c:pt>
                <c:pt idx="91">
                  <c:v>170.0</c:v>
                </c:pt>
                <c:pt idx="92">
                  <c:v>170.0000000000001</c:v>
                </c:pt>
                <c:pt idx="93">
                  <c:v>170.0</c:v>
                </c:pt>
                <c:pt idx="94">
                  <c:v>17</c:v>
                </c:pt>
                <c:pt idx="95">
                  <c:v>170.0</c:v>
                </c:pt>
                <c:pt idx="96">
                  <c:v>170.0</c:v>
                </c:pt>
                <c:pt idx="97">
                  <c:v>170.0</c:v>
                </c:pt>
                <c:pt idx="98">
                  <c:v>170.0</c:v>
                </c:pt>
                <c:pt idx="99">
                  <c:v>170.0</c:v>
                </c:pt>
                <c:pt idx="100">
                  <c:v>170.0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170.0</c:v>
                </c:pt>
                <c:pt idx="105">
                  <c:v>17</c:v>
                </c:pt>
                <c:pt idx="106">
                  <c:v>170.0000000000001</c:v>
                </c:pt>
                <c:pt idx="107">
                  <c:v>170.0</c:v>
                </c:pt>
                <c:pt idx="108">
                  <c:v>170.0</c:v>
                </c:pt>
                <c:pt idx="109">
                  <c:v>17</c:v>
                </c:pt>
                <c:pt idx="110">
                  <c:v>170.0000000000001</c:v>
                </c:pt>
                <c:pt idx="111">
                  <c:v>170.0</c:v>
                </c:pt>
                <c:pt idx="112">
                  <c:v>170.0000000000001</c:v>
                </c:pt>
                <c:pt idx="113">
                  <c:v>170.0000000000001</c:v>
                </c:pt>
                <c:pt idx="114">
                  <c:v>170.0</c:v>
                </c:pt>
                <c:pt idx="115">
                  <c:v>170.0000000000001</c:v>
                </c:pt>
                <c:pt idx="116">
                  <c:v>169.9999999999999</c:v>
                </c:pt>
                <c:pt idx="117">
                  <c:v>170.0</c:v>
                </c:pt>
                <c:pt idx="118">
                  <c:v>170.0</c:v>
                </c:pt>
                <c:pt idx="119">
                  <c:v>17</c:v>
                </c:pt>
                <c:pt idx="120">
                  <c:v>170.0000000000001</c:v>
                </c:pt>
                <c:pt idx="121">
                  <c:v>170.0</c:v>
                </c:pt>
                <c:pt idx="122">
                  <c:v>17</c:v>
                </c:pt>
                <c:pt idx="123">
                  <c:v>170.0</c:v>
                </c:pt>
                <c:pt idx="124">
                  <c:v>17</c:v>
                </c:pt>
                <c:pt idx="125">
                  <c:v>170.0</c:v>
                </c:pt>
                <c:pt idx="126">
                  <c:v>17</c:v>
                </c:pt>
                <c:pt idx="127">
                  <c:v>170.0</c:v>
                </c:pt>
                <c:pt idx="128">
                  <c:v>17</c:v>
                </c:pt>
                <c:pt idx="129">
                  <c:v>170.0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170.0</c:v>
                </c:pt>
                <c:pt idx="135">
                  <c:v>170.0</c:v>
                </c:pt>
                <c:pt idx="136">
                  <c:v>170.0</c:v>
                </c:pt>
                <c:pt idx="137">
                  <c:v>170.0</c:v>
                </c:pt>
                <c:pt idx="138">
                  <c:v>170.0</c:v>
                </c:pt>
                <c:pt idx="139">
                  <c:v>170.0000000000001</c:v>
                </c:pt>
                <c:pt idx="140">
                  <c:v>17</c:v>
                </c:pt>
                <c:pt idx="141">
                  <c:v>170.0</c:v>
                </c:pt>
                <c:pt idx="142">
                  <c:v>170.0</c:v>
                </c:pt>
                <c:pt idx="143">
                  <c:v>170.0</c:v>
                </c:pt>
                <c:pt idx="144">
                  <c:v>170.0</c:v>
                </c:pt>
                <c:pt idx="145">
                  <c:v>170.0</c:v>
                </c:pt>
                <c:pt idx="146">
                  <c:v>17</c:v>
                </c:pt>
                <c:pt idx="147">
                  <c:v>170.0</c:v>
                </c:pt>
                <c:pt idx="148">
                  <c:v>170.0</c:v>
                </c:pt>
                <c:pt idx="149">
                  <c:v>17</c:v>
                </c:pt>
                <c:pt idx="150">
                  <c:v>170.0</c:v>
                </c:pt>
                <c:pt idx="151">
                  <c:v>170.0</c:v>
                </c:pt>
                <c:pt idx="152">
                  <c:v>170.0</c:v>
                </c:pt>
                <c:pt idx="153">
                  <c:v>170.0</c:v>
                </c:pt>
                <c:pt idx="154">
                  <c:v>170.0</c:v>
                </c:pt>
                <c:pt idx="155">
                  <c:v>170.0</c:v>
                </c:pt>
                <c:pt idx="156">
                  <c:v>170.0</c:v>
                </c:pt>
                <c:pt idx="157">
                  <c:v>170.0</c:v>
                </c:pt>
                <c:pt idx="158">
                  <c:v>170.0</c:v>
                </c:pt>
                <c:pt idx="159">
                  <c:v>170.0</c:v>
                </c:pt>
                <c:pt idx="160">
                  <c:v>170.0</c:v>
                </c:pt>
                <c:pt idx="161">
                  <c:v>170.0</c:v>
                </c:pt>
                <c:pt idx="162">
                  <c:v>170.0</c:v>
                </c:pt>
                <c:pt idx="163">
                  <c:v>170.0</c:v>
                </c:pt>
                <c:pt idx="164">
                  <c:v>170.0</c:v>
                </c:pt>
                <c:pt idx="165">
                  <c:v>170.0</c:v>
                </c:pt>
                <c:pt idx="166">
                  <c:v>17</c:v>
                </c:pt>
                <c:pt idx="167">
                  <c:v>170.0</c:v>
                </c:pt>
                <c:pt idx="168">
                  <c:v>170.0</c:v>
                </c:pt>
                <c:pt idx="169">
                  <c:v>170.0</c:v>
                </c:pt>
                <c:pt idx="170">
                  <c:v>169.9999999999999</c:v>
                </c:pt>
                <c:pt idx="171">
                  <c:v>170.0</c:v>
                </c:pt>
                <c:pt idx="172">
                  <c:v>170.0</c:v>
                </c:pt>
                <c:pt idx="173">
                  <c:v>170.0</c:v>
                </c:pt>
                <c:pt idx="174">
                  <c:v>170.0</c:v>
                </c:pt>
                <c:pt idx="175">
                  <c:v>170.0000000000001</c:v>
                </c:pt>
                <c:pt idx="176">
                  <c:v>170.0</c:v>
                </c:pt>
                <c:pt idx="177">
                  <c:v>170.0</c:v>
                </c:pt>
                <c:pt idx="178">
                  <c:v>170.0</c:v>
                </c:pt>
                <c:pt idx="179">
                  <c:v>170.0</c:v>
                </c:pt>
                <c:pt idx="180">
                  <c:v>170.0</c:v>
                </c:pt>
                <c:pt idx="181">
                  <c:v>170.0</c:v>
                </c:pt>
                <c:pt idx="182">
                  <c:v>169.9999999999999</c:v>
                </c:pt>
                <c:pt idx="183">
                  <c:v>170.0</c:v>
                </c:pt>
                <c:pt idx="184">
                  <c:v>170.0</c:v>
                </c:pt>
                <c:pt idx="185">
                  <c:v>17</c:v>
                </c:pt>
                <c:pt idx="186">
                  <c:v>170.0</c:v>
                </c:pt>
                <c:pt idx="187">
                  <c:v>170.0</c:v>
                </c:pt>
                <c:pt idx="188">
                  <c:v>170.0</c:v>
                </c:pt>
                <c:pt idx="189">
                  <c:v>170.0</c:v>
                </c:pt>
                <c:pt idx="190">
                  <c:v>170.0</c:v>
                </c:pt>
                <c:pt idx="191">
                  <c:v>17</c:v>
                </c:pt>
                <c:pt idx="192">
                  <c:v>170.0</c:v>
                </c:pt>
                <c:pt idx="193">
                  <c:v>170.0</c:v>
                </c:pt>
                <c:pt idx="194">
                  <c:v>170.0</c:v>
                </c:pt>
                <c:pt idx="195">
                  <c:v>170.0</c:v>
                </c:pt>
                <c:pt idx="196">
                  <c:v>170.0</c:v>
                </c:pt>
                <c:pt idx="197">
                  <c:v>170.0</c:v>
                </c:pt>
                <c:pt idx="198">
                  <c:v>170.0</c:v>
                </c:pt>
                <c:pt idx="199">
                  <c:v>170.0</c:v>
                </c:pt>
                <c:pt idx="200">
                  <c:v>170.0</c:v>
                </c:pt>
                <c:pt idx="201">
                  <c:v>170.0</c:v>
                </c:pt>
                <c:pt idx="202">
                  <c:v>17</c:v>
                </c:pt>
                <c:pt idx="203">
                  <c:v>170.0</c:v>
                </c:pt>
                <c:pt idx="204">
                  <c:v>170.0</c:v>
                </c:pt>
                <c:pt idx="205">
                  <c:v>170.0</c:v>
                </c:pt>
                <c:pt idx="206">
                  <c:v>170.0</c:v>
                </c:pt>
                <c:pt idx="207">
                  <c:v>170.0</c:v>
                </c:pt>
                <c:pt idx="208">
                  <c:v>170.0</c:v>
                </c:pt>
                <c:pt idx="209">
                  <c:v>17</c:v>
                </c:pt>
                <c:pt idx="210">
                  <c:v>170.0</c:v>
                </c:pt>
                <c:pt idx="211">
                  <c:v>170.0</c:v>
                </c:pt>
                <c:pt idx="212">
                  <c:v>170.0</c:v>
                </c:pt>
                <c:pt idx="213">
                  <c:v>170.0</c:v>
                </c:pt>
                <c:pt idx="214">
                  <c:v>17</c:v>
                </c:pt>
                <c:pt idx="215">
                  <c:v>170.0</c:v>
                </c:pt>
                <c:pt idx="216">
                  <c:v>170.0</c:v>
                </c:pt>
                <c:pt idx="217">
                  <c:v>170.0</c:v>
                </c:pt>
                <c:pt idx="218">
                  <c:v>170.0</c:v>
                </c:pt>
                <c:pt idx="219">
                  <c:v>170.0</c:v>
                </c:pt>
                <c:pt idx="220">
                  <c:v>170.0</c:v>
                </c:pt>
                <c:pt idx="221">
                  <c:v>17</c:v>
                </c:pt>
                <c:pt idx="222">
                  <c:v>170.0</c:v>
                </c:pt>
                <c:pt idx="223">
                  <c:v>170.0000000000001</c:v>
                </c:pt>
                <c:pt idx="224">
                  <c:v>170.0</c:v>
                </c:pt>
                <c:pt idx="225">
                  <c:v>170.0000000000001</c:v>
                </c:pt>
                <c:pt idx="226">
                  <c:v>170.0</c:v>
                </c:pt>
                <c:pt idx="227">
                  <c:v>170.0</c:v>
                </c:pt>
                <c:pt idx="228">
                  <c:v>170.0</c:v>
                </c:pt>
                <c:pt idx="229">
                  <c:v>170.0</c:v>
                </c:pt>
                <c:pt idx="230">
                  <c:v>169.9999999999999</c:v>
                </c:pt>
                <c:pt idx="231">
                  <c:v>170.0</c:v>
                </c:pt>
                <c:pt idx="232">
                  <c:v>170.0</c:v>
                </c:pt>
                <c:pt idx="233">
                  <c:v>170.0</c:v>
                </c:pt>
                <c:pt idx="234">
                  <c:v>170.0</c:v>
                </c:pt>
                <c:pt idx="235">
                  <c:v>170.0</c:v>
                </c:pt>
                <c:pt idx="236">
                  <c:v>17</c:v>
                </c:pt>
                <c:pt idx="237">
                  <c:v>17</c:v>
                </c:pt>
                <c:pt idx="238">
                  <c:v>170.0</c:v>
                </c:pt>
                <c:pt idx="239">
                  <c:v>17</c:v>
                </c:pt>
                <c:pt idx="240">
                  <c:v>170.0</c:v>
                </c:pt>
                <c:pt idx="241">
                  <c:v>17</c:v>
                </c:pt>
                <c:pt idx="242">
                  <c:v>170.0</c:v>
                </c:pt>
                <c:pt idx="243">
                  <c:v>17</c:v>
                </c:pt>
                <c:pt idx="244">
                  <c:v>170.0</c:v>
                </c:pt>
                <c:pt idx="245">
                  <c:v>169.9999999999999</c:v>
                </c:pt>
                <c:pt idx="246">
                  <c:v>170.0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170.0</c:v>
                </c:pt>
                <c:pt idx="251">
                  <c:v>17</c:v>
                </c:pt>
                <c:pt idx="252">
                  <c:v>170.0</c:v>
                </c:pt>
                <c:pt idx="253">
                  <c:v>170.0</c:v>
                </c:pt>
                <c:pt idx="254">
                  <c:v>170.0</c:v>
                </c:pt>
                <c:pt idx="255">
                  <c:v>170.0</c:v>
                </c:pt>
                <c:pt idx="256">
                  <c:v>170.0</c:v>
                </c:pt>
                <c:pt idx="257">
                  <c:v>170.0</c:v>
                </c:pt>
                <c:pt idx="258">
                  <c:v>170.0</c:v>
                </c:pt>
                <c:pt idx="259">
                  <c:v>17</c:v>
                </c:pt>
                <c:pt idx="260">
                  <c:v>170.0</c:v>
                </c:pt>
                <c:pt idx="261">
                  <c:v>170.0</c:v>
                </c:pt>
                <c:pt idx="262">
                  <c:v>170.0</c:v>
                </c:pt>
                <c:pt idx="263">
                  <c:v>170.0</c:v>
                </c:pt>
                <c:pt idx="264">
                  <c:v>170.0</c:v>
                </c:pt>
                <c:pt idx="265">
                  <c:v>170.0</c:v>
                </c:pt>
                <c:pt idx="266">
                  <c:v>170.0</c:v>
                </c:pt>
                <c:pt idx="267">
                  <c:v>170.0</c:v>
                </c:pt>
                <c:pt idx="268">
                  <c:v>170.0</c:v>
                </c:pt>
                <c:pt idx="269">
                  <c:v>170.0</c:v>
                </c:pt>
                <c:pt idx="270">
                  <c:v>170.0</c:v>
                </c:pt>
                <c:pt idx="271">
                  <c:v>17</c:v>
                </c:pt>
                <c:pt idx="272">
                  <c:v>170.0</c:v>
                </c:pt>
                <c:pt idx="273">
                  <c:v>170.0</c:v>
                </c:pt>
                <c:pt idx="274">
                  <c:v>170.0</c:v>
                </c:pt>
                <c:pt idx="275">
                  <c:v>170.0</c:v>
                </c:pt>
                <c:pt idx="276">
                  <c:v>170.0</c:v>
                </c:pt>
                <c:pt idx="277">
                  <c:v>17</c:v>
                </c:pt>
                <c:pt idx="278">
                  <c:v>170.0</c:v>
                </c:pt>
                <c:pt idx="279">
                  <c:v>170.0</c:v>
                </c:pt>
                <c:pt idx="280">
                  <c:v>170.0</c:v>
                </c:pt>
                <c:pt idx="281">
                  <c:v>170.0</c:v>
                </c:pt>
                <c:pt idx="282">
                  <c:v>170.0</c:v>
                </c:pt>
                <c:pt idx="283">
                  <c:v>17</c:v>
                </c:pt>
                <c:pt idx="284">
                  <c:v>17</c:v>
                </c:pt>
                <c:pt idx="285">
                  <c:v>170.0</c:v>
                </c:pt>
                <c:pt idx="286">
                  <c:v>170.0</c:v>
                </c:pt>
                <c:pt idx="287">
                  <c:v>170.0</c:v>
                </c:pt>
                <c:pt idx="288">
                  <c:v>170.0</c:v>
                </c:pt>
                <c:pt idx="289">
                  <c:v>170.0</c:v>
                </c:pt>
                <c:pt idx="290">
                  <c:v>170.0</c:v>
                </c:pt>
                <c:pt idx="291">
                  <c:v>170.0</c:v>
                </c:pt>
                <c:pt idx="292">
                  <c:v>170.0</c:v>
                </c:pt>
                <c:pt idx="293">
                  <c:v>170.0</c:v>
                </c:pt>
                <c:pt idx="294">
                  <c:v>17</c:v>
                </c:pt>
                <c:pt idx="295">
                  <c:v>170.0</c:v>
                </c:pt>
                <c:pt idx="296">
                  <c:v>170.0</c:v>
                </c:pt>
                <c:pt idx="297">
                  <c:v>170.0</c:v>
                </c:pt>
                <c:pt idx="298">
                  <c:v>17</c:v>
                </c:pt>
                <c:pt idx="299">
                  <c:v>170.0</c:v>
                </c:pt>
                <c:pt idx="300">
                  <c:v>170.0</c:v>
                </c:pt>
                <c:pt idx="301">
                  <c:v>170.0</c:v>
                </c:pt>
                <c:pt idx="302">
                  <c:v>17</c:v>
                </c:pt>
                <c:pt idx="303">
                  <c:v>170.0</c:v>
                </c:pt>
                <c:pt idx="304">
                  <c:v>170.0</c:v>
                </c:pt>
                <c:pt idx="305">
                  <c:v>170.0</c:v>
                </c:pt>
                <c:pt idx="306">
                  <c:v>170.0</c:v>
                </c:pt>
                <c:pt idx="307">
                  <c:v>170.0</c:v>
                </c:pt>
                <c:pt idx="308">
                  <c:v>170.0</c:v>
                </c:pt>
                <c:pt idx="309">
                  <c:v>170.0</c:v>
                </c:pt>
                <c:pt idx="310">
                  <c:v>170.0</c:v>
                </c:pt>
                <c:pt idx="311">
                  <c:v>170.0</c:v>
                </c:pt>
                <c:pt idx="312">
                  <c:v>170.0</c:v>
                </c:pt>
                <c:pt idx="313">
                  <c:v>170.0</c:v>
                </c:pt>
                <c:pt idx="314">
                  <c:v>17</c:v>
                </c:pt>
                <c:pt idx="315">
                  <c:v>170.0</c:v>
                </c:pt>
                <c:pt idx="316">
                  <c:v>170.0</c:v>
                </c:pt>
                <c:pt idx="317">
                  <c:v>17</c:v>
                </c:pt>
                <c:pt idx="318">
                  <c:v>170.0</c:v>
                </c:pt>
                <c:pt idx="319">
                  <c:v>17</c:v>
                </c:pt>
                <c:pt idx="320">
                  <c:v>17</c:v>
                </c:pt>
                <c:pt idx="321">
                  <c:v>170.0</c:v>
                </c:pt>
                <c:pt idx="322">
                  <c:v>170.0000000000001</c:v>
                </c:pt>
                <c:pt idx="323">
                  <c:v>170.0</c:v>
                </c:pt>
                <c:pt idx="324">
                  <c:v>170.0</c:v>
                </c:pt>
                <c:pt idx="325">
                  <c:v>170.0</c:v>
                </c:pt>
                <c:pt idx="326">
                  <c:v>170.0</c:v>
                </c:pt>
                <c:pt idx="327">
                  <c:v>17</c:v>
                </c:pt>
                <c:pt idx="328">
                  <c:v>170.0</c:v>
                </c:pt>
                <c:pt idx="329">
                  <c:v>170.0</c:v>
                </c:pt>
                <c:pt idx="330">
                  <c:v>170.0</c:v>
                </c:pt>
                <c:pt idx="331">
                  <c:v>170.0</c:v>
                </c:pt>
                <c:pt idx="332">
                  <c:v>170.0</c:v>
                </c:pt>
                <c:pt idx="333">
                  <c:v>170.0</c:v>
                </c:pt>
                <c:pt idx="334">
                  <c:v>17</c:v>
                </c:pt>
                <c:pt idx="335">
                  <c:v>170.0</c:v>
                </c:pt>
                <c:pt idx="336">
                  <c:v>170.0</c:v>
                </c:pt>
                <c:pt idx="337">
                  <c:v>170.0</c:v>
                </c:pt>
                <c:pt idx="338">
                  <c:v>170.0</c:v>
                </c:pt>
                <c:pt idx="339">
                  <c:v>170.0</c:v>
                </c:pt>
                <c:pt idx="340">
                  <c:v>170.0</c:v>
                </c:pt>
                <c:pt idx="341">
                  <c:v>170.0</c:v>
                </c:pt>
                <c:pt idx="342">
                  <c:v>170.0</c:v>
                </c:pt>
                <c:pt idx="343">
                  <c:v>17</c:v>
                </c:pt>
                <c:pt idx="344">
                  <c:v>170.0</c:v>
                </c:pt>
                <c:pt idx="345">
                  <c:v>170.0</c:v>
                </c:pt>
                <c:pt idx="346">
                  <c:v>170.0</c:v>
                </c:pt>
                <c:pt idx="347">
                  <c:v>170.0</c:v>
                </c:pt>
                <c:pt idx="348">
                  <c:v>17</c:v>
                </c:pt>
                <c:pt idx="349">
                  <c:v>170.0</c:v>
                </c:pt>
                <c:pt idx="350">
                  <c:v>170.0</c:v>
                </c:pt>
                <c:pt idx="351">
                  <c:v>17</c:v>
                </c:pt>
                <c:pt idx="352">
                  <c:v>17</c:v>
                </c:pt>
                <c:pt idx="353">
                  <c:v>170.0</c:v>
                </c:pt>
                <c:pt idx="354">
                  <c:v>17</c:v>
                </c:pt>
                <c:pt idx="355">
                  <c:v>170.0</c:v>
                </c:pt>
                <c:pt idx="356">
                  <c:v>170.0</c:v>
                </c:pt>
                <c:pt idx="357">
                  <c:v>170.0</c:v>
                </c:pt>
                <c:pt idx="358">
                  <c:v>170.0</c:v>
                </c:pt>
                <c:pt idx="359">
                  <c:v>170.0</c:v>
                </c:pt>
                <c:pt idx="360">
                  <c:v>17</c:v>
                </c:pt>
                <c:pt idx="361">
                  <c:v>170.0</c:v>
                </c:pt>
                <c:pt idx="362">
                  <c:v>170.0</c:v>
                </c:pt>
                <c:pt idx="363">
                  <c:v>170.0</c:v>
                </c:pt>
                <c:pt idx="364">
                  <c:v>170.0</c:v>
                </c:pt>
                <c:pt idx="365">
                  <c:v>170.0</c:v>
                </c:pt>
                <c:pt idx="366">
                  <c:v>170.0</c:v>
                </c:pt>
                <c:pt idx="367">
                  <c:v>170.0</c:v>
                </c:pt>
                <c:pt idx="368">
                  <c:v>170.0</c:v>
                </c:pt>
                <c:pt idx="369">
                  <c:v>170.0</c:v>
                </c:pt>
                <c:pt idx="370">
                  <c:v>17</c:v>
                </c:pt>
                <c:pt idx="371">
                  <c:v>170.0</c:v>
                </c:pt>
                <c:pt idx="372">
                  <c:v>170.0</c:v>
                </c:pt>
                <c:pt idx="373">
                  <c:v>170.0</c:v>
                </c:pt>
                <c:pt idx="374">
                  <c:v>170.0</c:v>
                </c:pt>
                <c:pt idx="375">
                  <c:v>17</c:v>
                </c:pt>
                <c:pt idx="376">
                  <c:v>170.0</c:v>
                </c:pt>
                <c:pt idx="377">
                  <c:v>170.0</c:v>
                </c:pt>
                <c:pt idx="378">
                  <c:v>17</c:v>
                </c:pt>
                <c:pt idx="379">
                  <c:v>17</c:v>
                </c:pt>
                <c:pt idx="380">
                  <c:v>170.0</c:v>
                </c:pt>
                <c:pt idx="381">
                  <c:v>170.0</c:v>
                </c:pt>
                <c:pt idx="382">
                  <c:v>170.0</c:v>
                </c:pt>
                <c:pt idx="383">
                  <c:v>170.0</c:v>
                </c:pt>
                <c:pt idx="384">
                  <c:v>170.0</c:v>
                </c:pt>
                <c:pt idx="385">
                  <c:v>170.0</c:v>
                </c:pt>
                <c:pt idx="386">
                  <c:v>170.0</c:v>
                </c:pt>
                <c:pt idx="387">
                  <c:v>170.0</c:v>
                </c:pt>
                <c:pt idx="388">
                  <c:v>170.0</c:v>
                </c:pt>
                <c:pt idx="389">
                  <c:v>170.0</c:v>
                </c:pt>
                <c:pt idx="390">
                  <c:v>170.0</c:v>
                </c:pt>
                <c:pt idx="391">
                  <c:v>17</c:v>
                </c:pt>
                <c:pt idx="392">
                  <c:v>17</c:v>
                </c:pt>
                <c:pt idx="393">
                  <c:v>170.0</c:v>
                </c:pt>
                <c:pt idx="394">
                  <c:v>170.0</c:v>
                </c:pt>
                <c:pt idx="395">
                  <c:v>17</c:v>
                </c:pt>
                <c:pt idx="396">
                  <c:v>17</c:v>
                </c:pt>
                <c:pt idx="397">
                  <c:v>170.0</c:v>
                </c:pt>
                <c:pt idx="398">
                  <c:v>170.0</c:v>
                </c:pt>
                <c:pt idx="399">
                  <c:v>170.0</c:v>
                </c:pt>
                <c:pt idx="400">
                  <c:v>170.0</c:v>
                </c:pt>
                <c:pt idx="401">
                  <c:v>17</c:v>
                </c:pt>
                <c:pt idx="402">
                  <c:v>169.9999999999999</c:v>
                </c:pt>
                <c:pt idx="403">
                  <c:v>170.0</c:v>
                </c:pt>
                <c:pt idx="404">
                  <c:v>170.0</c:v>
                </c:pt>
                <c:pt idx="405">
                  <c:v>170.0</c:v>
                </c:pt>
                <c:pt idx="406">
                  <c:v>170.0</c:v>
                </c:pt>
                <c:pt idx="407">
                  <c:v>170.0</c:v>
                </c:pt>
                <c:pt idx="408">
                  <c:v>170.0</c:v>
                </c:pt>
                <c:pt idx="409">
                  <c:v>170.0</c:v>
                </c:pt>
                <c:pt idx="410">
                  <c:v>170.0</c:v>
                </c:pt>
                <c:pt idx="411">
                  <c:v>170.0</c:v>
                </c:pt>
                <c:pt idx="412">
                  <c:v>170.0</c:v>
                </c:pt>
                <c:pt idx="413">
                  <c:v>170.0</c:v>
                </c:pt>
                <c:pt idx="414">
                  <c:v>170.0</c:v>
                </c:pt>
                <c:pt idx="415">
                  <c:v>170.0</c:v>
                </c:pt>
                <c:pt idx="416">
                  <c:v>170.0</c:v>
                </c:pt>
                <c:pt idx="417">
                  <c:v>170.0</c:v>
                </c:pt>
                <c:pt idx="418">
                  <c:v>170.0</c:v>
                </c:pt>
                <c:pt idx="419">
                  <c:v>170.0000000000001</c:v>
                </c:pt>
                <c:pt idx="420">
                  <c:v>170.0</c:v>
                </c:pt>
                <c:pt idx="421">
                  <c:v>170.0</c:v>
                </c:pt>
                <c:pt idx="422">
                  <c:v>170.0</c:v>
                </c:pt>
                <c:pt idx="423">
                  <c:v>170.0</c:v>
                </c:pt>
                <c:pt idx="424">
                  <c:v>170.0</c:v>
                </c:pt>
                <c:pt idx="425">
                  <c:v>170.0</c:v>
                </c:pt>
                <c:pt idx="426">
                  <c:v>170.0</c:v>
                </c:pt>
                <c:pt idx="427">
                  <c:v>170.0</c:v>
                </c:pt>
                <c:pt idx="428">
                  <c:v>170.0</c:v>
                </c:pt>
                <c:pt idx="429">
                  <c:v>17</c:v>
                </c:pt>
                <c:pt idx="430">
                  <c:v>170.0</c:v>
                </c:pt>
                <c:pt idx="431">
                  <c:v>170.0</c:v>
                </c:pt>
                <c:pt idx="432">
                  <c:v>170.0</c:v>
                </c:pt>
                <c:pt idx="433">
                  <c:v>170.0</c:v>
                </c:pt>
                <c:pt idx="434">
                  <c:v>170.0</c:v>
                </c:pt>
                <c:pt idx="435">
                  <c:v>170.0</c:v>
                </c:pt>
                <c:pt idx="436">
                  <c:v>170.0</c:v>
                </c:pt>
                <c:pt idx="437">
                  <c:v>17</c:v>
                </c:pt>
                <c:pt idx="438">
                  <c:v>170.0</c:v>
                </c:pt>
                <c:pt idx="439">
                  <c:v>170.0</c:v>
                </c:pt>
                <c:pt idx="440">
                  <c:v>170.0</c:v>
                </c:pt>
                <c:pt idx="441">
                  <c:v>170.0</c:v>
                </c:pt>
                <c:pt idx="442">
                  <c:v>170.0</c:v>
                </c:pt>
                <c:pt idx="443">
                  <c:v>17</c:v>
                </c:pt>
                <c:pt idx="444">
                  <c:v>170.0</c:v>
                </c:pt>
                <c:pt idx="445">
                  <c:v>170.0</c:v>
                </c:pt>
                <c:pt idx="446">
                  <c:v>170.0</c:v>
                </c:pt>
                <c:pt idx="447">
                  <c:v>170.0</c:v>
                </c:pt>
                <c:pt idx="448">
                  <c:v>170.0</c:v>
                </c:pt>
                <c:pt idx="449">
                  <c:v>170.0</c:v>
                </c:pt>
                <c:pt idx="450">
                  <c:v>170.0</c:v>
                </c:pt>
                <c:pt idx="451">
                  <c:v>170.0</c:v>
                </c:pt>
                <c:pt idx="452">
                  <c:v>170.0</c:v>
                </c:pt>
                <c:pt idx="453">
                  <c:v>17</c:v>
                </c:pt>
                <c:pt idx="454">
                  <c:v>170.0</c:v>
                </c:pt>
                <c:pt idx="455">
                  <c:v>17</c:v>
                </c:pt>
                <c:pt idx="456">
                  <c:v>170.0</c:v>
                </c:pt>
                <c:pt idx="457">
                  <c:v>170.0</c:v>
                </c:pt>
                <c:pt idx="458">
                  <c:v>170.0</c:v>
                </c:pt>
                <c:pt idx="459">
                  <c:v>170.0</c:v>
                </c:pt>
                <c:pt idx="460">
                  <c:v>170.0</c:v>
                </c:pt>
                <c:pt idx="461">
                  <c:v>170.0</c:v>
                </c:pt>
                <c:pt idx="462">
                  <c:v>170.0</c:v>
                </c:pt>
                <c:pt idx="463">
                  <c:v>17</c:v>
                </c:pt>
                <c:pt idx="464">
                  <c:v>170.0</c:v>
                </c:pt>
                <c:pt idx="465">
                  <c:v>170.0</c:v>
                </c:pt>
                <c:pt idx="466">
                  <c:v>170.0</c:v>
                </c:pt>
                <c:pt idx="467">
                  <c:v>17</c:v>
                </c:pt>
                <c:pt idx="468">
                  <c:v>170.0</c:v>
                </c:pt>
                <c:pt idx="469">
                  <c:v>170.0</c:v>
                </c:pt>
                <c:pt idx="470">
                  <c:v>170.0</c:v>
                </c:pt>
                <c:pt idx="471">
                  <c:v>170.0</c:v>
                </c:pt>
                <c:pt idx="472">
                  <c:v>169.9999999999999</c:v>
                </c:pt>
                <c:pt idx="473">
                  <c:v>170.0</c:v>
                </c:pt>
                <c:pt idx="474">
                  <c:v>170.0</c:v>
                </c:pt>
                <c:pt idx="475">
                  <c:v>170.0</c:v>
                </c:pt>
                <c:pt idx="476">
                  <c:v>170.0</c:v>
                </c:pt>
                <c:pt idx="477">
                  <c:v>170.0000000000001</c:v>
                </c:pt>
                <c:pt idx="478">
                  <c:v>170.0</c:v>
                </c:pt>
                <c:pt idx="479">
                  <c:v>17</c:v>
                </c:pt>
                <c:pt idx="480">
                  <c:v>17</c:v>
                </c:pt>
                <c:pt idx="481">
                  <c:v>170.0</c:v>
                </c:pt>
                <c:pt idx="482">
                  <c:v>170.0000000000001</c:v>
                </c:pt>
                <c:pt idx="483">
                  <c:v>170.0</c:v>
                </c:pt>
                <c:pt idx="484">
                  <c:v>170.0000000000001</c:v>
                </c:pt>
                <c:pt idx="485">
                  <c:v>170.0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17</c:v>
                </c:pt>
                <c:pt idx="492">
                  <c:v>17</c:v>
                </c:pt>
                <c:pt idx="493">
                  <c:v>170.0</c:v>
                </c:pt>
                <c:pt idx="494">
                  <c:v>17</c:v>
                </c:pt>
                <c:pt idx="495">
                  <c:v>170.0</c:v>
                </c:pt>
                <c:pt idx="496">
                  <c:v>17</c:v>
                </c:pt>
                <c:pt idx="497">
                  <c:v>170.0</c:v>
                </c:pt>
                <c:pt idx="498">
                  <c:v>170.0000000000001</c:v>
                </c:pt>
                <c:pt idx="499">
                  <c:v>170.0</c:v>
                </c:pt>
                <c:pt idx="500">
                  <c:v>170.0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75569568"/>
        <c:axId val="-1375568208"/>
      </c:scatterChart>
      <c:valAx>
        <c:axId val="-137556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5568208"/>
        <c:crosses val="autoZero"/>
        <c:crossBetween val="midCat"/>
      </c:valAx>
      <c:valAx>
        <c:axId val="-137556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7556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Steps'!$B$2:$B$502</c:f>
              <c:numCache>
                <c:formatCode>General</c:formatCode>
                <c:ptCount val="501"/>
                <c:pt idx="0">
                  <c:v>2.0</c:v>
                </c:pt>
                <c:pt idx="1">
                  <c:v>2.100215137574038</c:v>
                </c:pt>
                <c:pt idx="2">
                  <c:v>2.200098622467036</c:v>
                </c:pt>
                <c:pt idx="3">
                  <c:v>2.29963468171128</c:v>
                </c:pt>
                <c:pt idx="4">
                  <c:v>2.398807597202316</c:v>
                </c:pt>
                <c:pt idx="5">
                  <c:v>2.497601708181052</c:v>
                </c:pt>
                <c:pt idx="6">
                  <c:v>2.596001413706809</c:v>
                </c:pt>
                <c:pt idx="7">
                  <c:v>2.693991175120917</c:v>
                </c:pt>
                <c:pt idx="8">
                  <c:v>2.791555518500492</c:v>
                </c:pt>
                <c:pt idx="9">
                  <c:v>2.888679037101965</c:v>
                </c:pt>
                <c:pt idx="10">
                  <c:v>2.985346393794031</c:v>
                </c:pt>
                <c:pt idx="11">
                  <c:v>3.081542323479586</c:v>
                </c:pt>
                <c:pt idx="12">
                  <c:v>3.177251635506294</c:v>
                </c:pt>
                <c:pt idx="13">
                  <c:v>3.272459216065399</c:v>
                </c:pt>
                <c:pt idx="14">
                  <c:v>3.367150030578404</c:v>
                </c:pt>
                <c:pt idx="15">
                  <c:v>3.461309126071235</c:v>
                </c:pt>
                <c:pt idx="16">
                  <c:v>3.554921633535518</c:v>
                </c:pt>
                <c:pt idx="17">
                  <c:v>3.647972770276602</c:v>
                </c:pt>
                <c:pt idx="18">
                  <c:v>3.74044784224795</c:v>
                </c:pt>
                <c:pt idx="19">
                  <c:v>3.832332246371524</c:v>
                </c:pt>
                <c:pt idx="20">
                  <c:v>3.923611472843814</c:v>
                </c:pt>
                <c:pt idx="21">
                  <c:v>4.014271107427135</c:v>
                </c:pt>
                <c:pt idx="22">
                  <c:v>4.104296833725832</c:v>
                </c:pt>
                <c:pt idx="23">
                  <c:v>4.193674435447033</c:v>
                </c:pt>
                <c:pt idx="24">
                  <c:v>4.282389798645596</c:v>
                </c:pt>
                <c:pt idx="25">
                  <c:v>4.370428913952896</c:v>
                </c:pt>
                <c:pt idx="26">
                  <c:v>4.457777878789097</c:v>
                </c:pt>
                <c:pt idx="27">
                  <c:v>4.544422899558552</c:v>
                </c:pt>
                <c:pt idx="28">
                  <c:v>4.630350293828009</c:v>
                </c:pt>
                <c:pt idx="29">
                  <c:v>4.715546492487249</c:v>
                </c:pt>
                <c:pt idx="30">
                  <c:v>4.799998041891836</c:v>
                </c:pt>
                <c:pt idx="31">
                  <c:v>4.88369160598763</c:v>
                </c:pt>
                <c:pt idx="32">
                  <c:v>4.966613968416738</c:v>
                </c:pt>
                <c:pt idx="33">
                  <c:v>5.048752034604546</c:v>
                </c:pt>
                <c:pt idx="34">
                  <c:v>5.130092833827542</c:v>
                </c:pt>
                <c:pt idx="35">
                  <c:v>5.210623521261567</c:v>
                </c:pt>
                <c:pt idx="36">
                  <c:v>5.290331380010186</c:v>
                </c:pt>
                <c:pt idx="37">
                  <c:v>5.369203823112862</c:v>
                </c:pt>
                <c:pt idx="38">
                  <c:v>5.447228395532612</c:v>
                </c:pt>
                <c:pt idx="39">
                  <c:v>5.524392776122822</c:v>
                </c:pt>
                <c:pt idx="40">
                  <c:v>5.600684779572925</c:v>
                </c:pt>
                <c:pt idx="41">
                  <c:v>5.676092358332636</c:v>
                </c:pt>
                <c:pt idx="42">
                  <c:v>5.750603604514414</c:v>
                </c:pt>
                <c:pt idx="43">
                  <c:v>5.824206751773888</c:v>
                </c:pt>
                <c:pt idx="44">
                  <c:v>5.896890177167918</c:v>
                </c:pt>
                <c:pt idx="45">
                  <c:v>5.968642402990024</c:v>
                </c:pt>
                <c:pt idx="46">
                  <c:v>6.039452098582865</c:v>
                </c:pt>
                <c:pt idx="47">
                  <c:v>6.109308082127507</c:v>
                </c:pt>
                <c:pt idx="48">
                  <c:v>6.178199322409191</c:v>
                </c:pt>
                <c:pt idx="49">
                  <c:v>6.246114940559302</c:v>
                </c:pt>
                <c:pt idx="50">
                  <c:v>6.3130442117733</c:v>
                </c:pt>
                <c:pt idx="51">
                  <c:v>6.37897656700431</c:v>
                </c:pt>
                <c:pt idx="52">
                  <c:v>6.443901594632117</c:v>
                </c:pt>
                <c:pt idx="53">
                  <c:v>6.507809042107307</c:v>
                </c:pt>
                <c:pt idx="54">
                  <c:v>6.570688817570282</c:v>
                </c:pt>
                <c:pt idx="55">
                  <c:v>6.632530991444904</c:v>
                </c:pt>
                <c:pt idx="56">
                  <c:v>6.693325798006509</c:v>
                </c:pt>
                <c:pt idx="57">
                  <c:v>6.753063636924052</c:v>
                </c:pt>
                <c:pt idx="58">
                  <c:v>6.811735074776125</c:v>
                </c:pt>
                <c:pt idx="59">
                  <c:v>6.86933084654063</c:v>
                </c:pt>
                <c:pt idx="60">
                  <c:v>6.925841857057846</c:v>
                </c:pt>
                <c:pt idx="61">
                  <c:v>6.981259182466683</c:v>
                </c:pt>
                <c:pt idx="62">
                  <c:v>7.035574071613881</c:v>
                </c:pt>
                <c:pt idx="63">
                  <c:v>7.088777947435937</c:v>
                </c:pt>
                <c:pt idx="64">
                  <c:v>7.14086240831354</c:v>
                </c:pt>
                <c:pt idx="65">
                  <c:v>7.191819229398299</c:v>
                </c:pt>
                <c:pt idx="66">
                  <c:v>7.241640363911566</c:v>
                </c:pt>
                <c:pt idx="67">
                  <c:v>7.290317944415124</c:v>
                </c:pt>
                <c:pt idx="68">
                  <c:v>7.33784428405357</c:v>
                </c:pt>
                <c:pt idx="69">
                  <c:v>7.38421187776817</c:v>
                </c:pt>
                <c:pt idx="70">
                  <c:v>7.42941340348201</c:v>
                </c:pt>
                <c:pt idx="71">
                  <c:v>7.47344172325626</c:v>
                </c:pt>
                <c:pt idx="72">
                  <c:v>7.516289884417338</c:v>
                </c:pt>
                <c:pt idx="73">
                  <c:v>7.557951120654847</c:v>
                </c:pt>
                <c:pt idx="74">
                  <c:v>7.598418853090058</c:v>
                </c:pt>
                <c:pt idx="75">
                  <c:v>7.637686691314807</c:v>
                </c:pt>
                <c:pt idx="76">
                  <c:v>7.675748434400634</c:v>
                </c:pt>
                <c:pt idx="77">
                  <c:v>7.712598071877983</c:v>
                </c:pt>
                <c:pt idx="78">
                  <c:v>7.748229784685347</c:v>
                </c:pt>
                <c:pt idx="79">
                  <c:v>7.782637946088175</c:v>
                </c:pt>
                <c:pt idx="80">
                  <c:v>7.815817122567406</c:v>
                </c:pt>
                <c:pt idx="81">
                  <c:v>7.8477620746775</c:v>
                </c:pt>
                <c:pt idx="82">
                  <c:v>7.87846775787382</c:v>
                </c:pt>
                <c:pt idx="83">
                  <c:v>7.907929323309227</c:v>
                </c:pt>
                <c:pt idx="84">
                  <c:v>7.93614211859979</c:v>
                </c:pt>
                <c:pt idx="85">
                  <c:v>7.963101688559451</c:v>
                </c:pt>
                <c:pt idx="86">
                  <c:v>7.988803775903564</c:v>
                </c:pt>
                <c:pt idx="87">
                  <c:v>8.01324432192118</c:v>
                </c:pt>
                <c:pt idx="88">
                  <c:v>8.03641946711597</c:v>
                </c:pt>
                <c:pt idx="89">
                  <c:v>8.058325551815691</c:v>
                </c:pt>
                <c:pt idx="90">
                  <c:v>8.078959116750109</c:v>
                </c:pt>
                <c:pt idx="91">
                  <c:v>8.098316903597247</c:v>
                </c:pt>
                <c:pt idx="92">
                  <c:v>8.116395855497934</c:v>
                </c:pt>
                <c:pt idx="93">
                  <c:v>8.13319311753852</c:v>
                </c:pt>
                <c:pt idx="94">
                  <c:v>8.1487060372017</c:v>
                </c:pt>
                <c:pt idx="95">
                  <c:v>8.162932164785393</c:v>
                </c:pt>
                <c:pt idx="96">
                  <c:v>8.175869253789578</c:v>
                </c:pt>
                <c:pt idx="97">
                  <c:v>8.187515261271043</c:v>
                </c:pt>
                <c:pt idx="98">
                  <c:v>8.197868348166002</c:v>
                </c:pt>
                <c:pt idx="99">
                  <c:v>8.206926879580503</c:v>
                </c:pt>
                <c:pt idx="100">
                  <c:v>8.214689425048602</c:v>
                </c:pt>
                <c:pt idx="101">
                  <c:v>8.221154758758253</c:v>
                </c:pt>
                <c:pt idx="102">
                  <c:v>8.226321859744878</c:v>
                </c:pt>
                <c:pt idx="103">
                  <c:v>8.230189912052596</c:v>
                </c:pt>
                <c:pt idx="104">
                  <c:v>8.23275830486307</c:v>
                </c:pt>
                <c:pt idx="105">
                  <c:v>8.234026632591963</c:v>
                </c:pt>
                <c:pt idx="106">
                  <c:v>8.233994694952988</c:v>
                </c:pt>
                <c:pt idx="107">
                  <c:v>8.232662496989537</c:v>
                </c:pt>
                <c:pt idx="108">
                  <c:v>8.230030249073877</c:v>
                </c:pt>
                <c:pt idx="109">
                  <c:v>8.22609836687394</c:v>
                </c:pt>
                <c:pt idx="110">
                  <c:v>8.220867471287674</c:v>
                </c:pt>
                <c:pt idx="111">
                  <c:v>8.214338388345002</c:v>
                </c:pt>
                <c:pt idx="112">
                  <c:v>8.206512149077376</c:v>
                </c:pt>
                <c:pt idx="113">
                  <c:v>8.197389989354963</c:v>
                </c:pt>
                <c:pt idx="114">
                  <c:v>8.18697334969149</c:v>
                </c:pt>
                <c:pt idx="115">
                  <c:v>8.175263875016757</c:v>
                </c:pt>
                <c:pt idx="116">
                  <c:v>8.162263414416888</c:v>
                </c:pt>
                <c:pt idx="117">
                  <c:v>8.147974020842335</c:v>
                </c:pt>
                <c:pt idx="118">
                  <c:v>8.132397950783685</c:v>
                </c:pt>
                <c:pt idx="119">
                  <c:v>8.11553766391533</c:v>
                </c:pt>
                <c:pt idx="120">
                  <c:v>8.097395822707058</c:v>
                </c:pt>
                <c:pt idx="121">
                  <c:v>8.077975292003598</c:v>
                </c:pt>
                <c:pt idx="122">
                  <c:v>8.057279138572237</c:v>
                </c:pt>
                <c:pt idx="123">
                  <c:v>8.035310630618527</c:v>
                </c:pt>
                <c:pt idx="124">
                  <c:v>8.01207323727019</c:v>
                </c:pt>
                <c:pt idx="125">
                  <c:v>7.987570628029303</c:v>
                </c:pt>
                <c:pt idx="126">
                  <c:v>7.961806672192825</c:v>
                </c:pt>
                <c:pt idx="127">
                  <c:v>7.934785438241589</c:v>
                </c:pt>
                <c:pt idx="128">
                  <c:v>7.906511193197824</c:v>
                </c:pt>
                <c:pt idx="129">
                  <c:v>7.876988401951344</c:v>
                </c:pt>
                <c:pt idx="130">
                  <c:v>7.846221726554477</c:v>
                </c:pt>
                <c:pt idx="131">
                  <c:v>7.814216025485861</c:v>
                </c:pt>
                <c:pt idx="132">
                  <c:v>7.780976352883226</c:v>
                </c:pt>
                <c:pt idx="133">
                  <c:v>7.746507957745276</c:v>
                </c:pt>
                <c:pt idx="134">
                  <c:v>7.7108162831028</c:v>
                </c:pt>
                <c:pt idx="135">
                  <c:v>7.673906965159145</c:v>
                </c:pt>
                <c:pt idx="136">
                  <c:v>7.63578583240018</c:v>
                </c:pt>
                <c:pt idx="137">
                  <c:v>7.5964589046739</c:v>
                </c:pt>
                <c:pt idx="138">
                  <c:v>7.555932392239806</c:v>
                </c:pt>
                <c:pt idx="139">
                  <c:v>7.514212694788228</c:v>
                </c:pt>
                <c:pt idx="140">
                  <c:v>7.47130640042972</c:v>
                </c:pt>
                <c:pt idx="141">
                  <c:v>7.427220284654706</c:v>
                </c:pt>
                <c:pt idx="142">
                  <c:v>7.381961309263543</c:v>
                </c:pt>
                <c:pt idx="143">
                  <c:v>7.335536621267155</c:v>
                </c:pt>
                <c:pt idx="144">
                  <c:v>7.287953551758422</c:v>
                </c:pt>
                <c:pt idx="145">
                  <c:v>7.239219614754498</c:v>
                </c:pt>
                <c:pt idx="146">
                  <c:v>7.189342506010251</c:v>
                </c:pt>
                <c:pt idx="147">
                  <c:v>7.138330101802992</c:v>
                </c:pt>
                <c:pt idx="148">
                  <c:v>7.086190457688705</c:v>
                </c:pt>
                <c:pt idx="149">
                  <c:v>7.032931807229968</c:v>
                </c:pt>
                <c:pt idx="150">
                  <c:v>6.978562560695756</c:v>
                </c:pt>
                <c:pt idx="151">
                  <c:v>6.923091303733346</c:v>
                </c:pt>
                <c:pt idx="152">
                  <c:v>6.86652679601253</c:v>
                </c:pt>
                <c:pt idx="153">
                  <c:v>6.808877969842335</c:v>
                </c:pt>
                <c:pt idx="154">
                  <c:v>6.750153928760498</c:v>
                </c:pt>
                <c:pt idx="155">
                  <c:v>6.690363946095887</c:v>
                </c:pt>
                <c:pt idx="156">
                  <c:v>6.629517463504121</c:v>
                </c:pt>
                <c:pt idx="157">
                  <c:v>6.567624089476596</c:v>
                </c:pt>
                <c:pt idx="158">
                  <c:v>6.50469359782318</c:v>
                </c:pt>
                <c:pt idx="159">
                  <c:v>6.440735926128791</c:v>
                </c:pt>
                <c:pt idx="160">
                  <c:v>6.375761174184117</c:v>
                </c:pt>
                <c:pt idx="161">
                  <c:v>6.309779602390723</c:v>
                </c:pt>
                <c:pt idx="162">
                  <c:v>6.242801630140791</c:v>
                </c:pt>
                <c:pt idx="163">
                  <c:v>6.174837834171755</c:v>
                </c:pt>
                <c:pt idx="164">
                  <c:v>6.105898946896093</c:v>
                </c:pt>
                <c:pt idx="165">
                  <c:v>6.035995854706528</c:v>
                </c:pt>
                <c:pt idx="166">
                  <c:v>5.965139596256923</c:v>
                </c:pt>
                <c:pt idx="167">
                  <c:v>5.89334136071912</c:v>
                </c:pt>
                <c:pt idx="168">
                  <c:v>5.820612486016023</c:v>
                </c:pt>
                <c:pt idx="169">
                  <c:v>5.746964457031181</c:v>
                </c:pt>
                <c:pt idx="170">
                  <c:v>5.672408903795172</c:v>
                </c:pt>
                <c:pt idx="171">
                  <c:v>5.596957599649055</c:v>
                </c:pt>
                <c:pt idx="172">
                  <c:v>5.520622459385208</c:v>
                </c:pt>
                <c:pt idx="173">
                  <c:v>5.443415537365809</c:v>
                </c:pt>
                <c:pt idx="174">
                  <c:v>5.365349025619299</c:v>
                </c:pt>
                <c:pt idx="175">
                  <c:v>5.286435251915082</c:v>
                </c:pt>
                <c:pt idx="176">
                  <c:v>5.206686677816811</c:v>
                </c:pt>
                <c:pt idx="177">
                  <c:v>5.126115896714532</c:v>
                </c:pt>
                <c:pt idx="178">
                  <c:v>5.044735631836018</c:v>
                </c:pt>
                <c:pt idx="179">
                  <c:v>4.962558734237596</c:v>
                </c:pt>
                <c:pt idx="180">
                  <c:v>4.879598180774787</c:v>
                </c:pt>
                <c:pt idx="181">
                  <c:v>4.795867072053091</c:v>
                </c:pt>
                <c:pt idx="182">
                  <c:v>4.711378630359213</c:v>
                </c:pt>
                <c:pt idx="183">
                  <c:v>4.626146197573088</c:v>
                </c:pt>
                <c:pt idx="184">
                  <c:v>4.540183233061017</c:v>
                </c:pt>
                <c:pt idx="185">
                  <c:v>4.453503311550244</c:v>
                </c:pt>
                <c:pt idx="186">
                  <c:v>4.36612012098533</c:v>
                </c:pt>
                <c:pt idx="187">
                  <c:v>4.278047460366626</c:v>
                </c:pt>
                <c:pt idx="188">
                  <c:v>4.189299237571237</c:v>
                </c:pt>
                <c:pt idx="189">
                  <c:v>4.099889467156767</c:v>
                </c:pt>
                <c:pt idx="190">
                  <c:v>4.009832268148231</c:v>
                </c:pt>
                <c:pt idx="191">
                  <c:v>3.919141861808474</c:v>
                </c:pt>
                <c:pt idx="192">
                  <c:v>3.827832569392432</c:v>
                </c:pt>
                <c:pt idx="193">
                  <c:v>3.735918809885613</c:v>
                </c:pt>
                <c:pt idx="194">
                  <c:v>3.643415097727145</c:v>
                </c:pt>
                <c:pt idx="195">
                  <c:v>3.55033604051774</c:v>
                </c:pt>
                <c:pt idx="196">
                  <c:v>3.456696336712961</c:v>
                </c:pt>
                <c:pt idx="197">
                  <c:v>3.362510773302134</c:v>
                </c:pt>
                <c:pt idx="198">
                  <c:v>3.267794223473276</c:v>
                </c:pt>
                <c:pt idx="199">
                  <c:v>3.172561644264422</c:v>
                </c:pt>
                <c:pt idx="200">
                  <c:v>3.076828074201695</c:v>
                </c:pt>
                <c:pt idx="201">
                  <c:v>2.980608630924528</c:v>
                </c:pt>
                <c:pt idx="202">
                  <c:v>2.883918508798374</c:v>
                </c:pt>
                <c:pt idx="203">
                  <c:v>2.786772976515311</c:v>
                </c:pt>
                <c:pt idx="204">
                  <c:v>2.689187374682906</c:v>
                </c:pt>
                <c:pt idx="205">
                  <c:v>2.591177113401724</c:v>
                </c:pt>
                <c:pt idx="206">
                  <c:v>2.492757669831864</c:v>
                </c:pt>
                <c:pt idx="207">
                  <c:v>2.3939445857489</c:v>
                </c:pt>
                <c:pt idx="208">
                  <c:v>2.294753465089624</c:v>
                </c:pt>
                <c:pt idx="209">
                  <c:v>2.195199971487972</c:v>
                </c:pt>
                <c:pt idx="210">
                  <c:v>2.095299825801523</c:v>
                </c:pt>
                <c:pt idx="211">
                  <c:v>1.995068803628956</c:v>
                </c:pt>
                <c:pt idx="212">
                  <c:v>1.894522732818873</c:v>
                </c:pt>
                <c:pt idx="213">
                  <c:v>1.793677490970361</c:v>
                </c:pt>
                <c:pt idx="214">
                  <c:v>1.692549002925705</c:v>
                </c:pt>
                <c:pt idx="215">
                  <c:v>1.591153238255636</c:v>
                </c:pt>
                <c:pt idx="216">
                  <c:v>1.489506208737517</c:v>
                </c:pt>
                <c:pt idx="217">
                  <c:v>1.387623965826866</c:v>
                </c:pt>
                <c:pt idx="218">
                  <c:v>1.285522598122613</c:v>
                </c:pt>
                <c:pt idx="219">
                  <c:v>1.183218228826486</c:v>
                </c:pt>
                <c:pt idx="220">
                  <c:v>1.08072701319694</c:v>
                </c:pt>
                <c:pt idx="221">
                  <c:v>0.978065135998021</c:v>
                </c:pt>
                <c:pt idx="222">
                  <c:v>0.875248808943569</c:v>
                </c:pt>
                <c:pt idx="223">
                  <c:v>0.772294268137168</c:v>
                </c:pt>
                <c:pt idx="224">
                  <c:v>0.669217771508243</c:v>
                </c:pt>
                <c:pt idx="225">
                  <c:v>0.566035596244711</c:v>
                </c:pt>
                <c:pt idx="226">
                  <c:v>0.462764036222589</c:v>
                </c:pt>
                <c:pt idx="227">
                  <c:v>0.35941939943297</c:v>
                </c:pt>
                <c:pt idx="228">
                  <c:v>0.256018005406767</c:v>
                </c:pt>
                <c:pt idx="229">
                  <c:v>0.152576182637638</c:v>
                </c:pt>
                <c:pt idx="230">
                  <c:v>0.0491102660034897</c:v>
                </c:pt>
                <c:pt idx="231">
                  <c:v>-0.0543634058130182</c:v>
                </c:pt>
                <c:pt idx="232">
                  <c:v>-0.157828492904578</c:v>
                </c:pt>
                <c:pt idx="233">
                  <c:v>-0.261268656719526</c:v>
                </c:pt>
                <c:pt idx="234">
                  <c:v>-0.364667562641927</c:v>
                </c:pt>
                <c:pt idx="235">
                  <c:v>-0.468008882571029</c:v>
                </c:pt>
                <c:pt idx="236">
                  <c:v>-0.571276297499697</c:v>
                </c:pt>
                <c:pt idx="237">
                  <c:v>-0.674453500091403</c:v>
                </c:pt>
                <c:pt idx="238">
                  <c:v>-0.777524197255384</c:v>
                </c:pt>
                <c:pt idx="239">
                  <c:v>-0.880472112719539</c:v>
                </c:pt>
                <c:pt idx="240">
                  <c:v>-0.983280989600674</c:v>
                </c:pt>
                <c:pt idx="241">
                  <c:v>-1.085934592971689</c:v>
                </c:pt>
                <c:pt idx="242">
                  <c:v>-1.188416712425294</c:v>
                </c:pt>
                <c:pt idx="243">
                  <c:v>-1.290711164633855</c:v>
                </c:pt>
                <c:pt idx="244">
                  <c:v>-1.39280179590496</c:v>
                </c:pt>
                <c:pt idx="245">
                  <c:v>-1.49467248473231</c:v>
                </c:pt>
                <c:pt idx="246">
                  <c:v>-1.596307144341524</c:v>
                </c:pt>
                <c:pt idx="247">
                  <c:v>-1.697689725230461</c:v>
                </c:pt>
                <c:pt idx="248">
                  <c:v>-1.798804217703657</c:v>
                </c:pt>
                <c:pt idx="249">
                  <c:v>-1.899634654400474</c:v>
                </c:pt>
                <c:pt idx="250">
                  <c:v>-2.000165112816561</c:v>
                </c:pt>
                <c:pt idx="251">
                  <c:v>-2.100379717818243</c:v>
                </c:pt>
                <c:pt idx="252">
                  <c:v>-2.200262644149414</c:v>
                </c:pt>
                <c:pt idx="253">
                  <c:v>-2.299798118930565</c:v>
                </c:pt>
                <c:pt idx="254">
                  <c:v>-2.398970424149536</c:v>
                </c:pt>
                <c:pt idx="255">
                  <c:v>-2.497763899143607</c:v>
                </c:pt>
                <c:pt idx="256">
                  <c:v>-2.596162943072529</c:v>
                </c:pt>
                <c:pt idx="257">
                  <c:v>-2.694152017382108</c:v>
                </c:pt>
                <c:pt idx="258">
                  <c:v>-2.79171564825796</c:v>
                </c:pt>
                <c:pt idx="259">
                  <c:v>-2.888838429069032</c:v>
                </c:pt>
                <c:pt idx="260">
                  <c:v>-2.985505022800529</c:v>
                </c:pt>
                <c:pt idx="261">
                  <c:v>-3.081700164475825</c:v>
                </c:pt>
                <c:pt idx="262">
                  <c:v>-3.177408663567023</c:v>
                </c:pt>
                <c:pt idx="263">
                  <c:v>-3.27261540639374</c:v>
                </c:pt>
                <c:pt idx="264">
                  <c:v>-3.36730535850977</c:v>
                </c:pt>
                <c:pt idx="265">
                  <c:v>-3.461463567077221</c:v>
                </c:pt>
                <c:pt idx="266">
                  <c:v>-3.555075163227778</c:v>
                </c:pt>
                <c:pt idx="267">
                  <c:v>-3.6481253644107</c:v>
                </c:pt>
                <c:pt idx="268">
                  <c:v>-3.740599476727186</c:v>
                </c:pt>
                <c:pt idx="269">
                  <c:v>-3.83248289725074</c:v>
                </c:pt>
                <c:pt idx="270">
                  <c:v>-3.923761116333177</c:v>
                </c:pt>
                <c:pt idx="271">
                  <c:v>-4.014419719895892</c:v>
                </c:pt>
                <c:pt idx="272">
                  <c:v>-4.104444391706043</c:v>
                </c:pt>
                <c:pt idx="273">
                  <c:v>-4.193820915637275</c:v>
                </c:pt>
                <c:pt idx="274">
                  <c:v>-4.282535177914646</c:v>
                </c:pt>
                <c:pt idx="275">
                  <c:v>-4.37057316934338</c:v>
                </c:pt>
                <c:pt idx="276">
                  <c:v>-4.457920987521116</c:v>
                </c:pt>
                <c:pt idx="277">
                  <c:v>-4.544564839033281</c:v>
                </c:pt>
                <c:pt idx="278">
                  <c:v>-4.630491041631264</c:v>
                </c:pt>
                <c:pt idx="279">
                  <c:v>-4.715686026393029</c:v>
                </c:pt>
                <c:pt idx="280">
                  <c:v>-4.800136339865829</c:v>
                </c:pt>
                <c:pt idx="281">
                  <c:v>-4.883828646190697</c:v>
                </c:pt>
                <c:pt idx="282">
                  <c:v>-4.966749729208355</c:v>
                </c:pt>
                <c:pt idx="283">
                  <c:v>-5.04888649454623</c:v>
                </c:pt>
                <c:pt idx="284">
                  <c:v>-5.130225971686229</c:v>
                </c:pt>
                <c:pt idx="285">
                  <c:v>-5.210755316012968</c:v>
                </c:pt>
                <c:pt idx="286">
                  <c:v>-5.29046181084211</c:v>
                </c:pt>
                <c:pt idx="287">
                  <c:v>-5.369332869428497</c:v>
                </c:pt>
                <c:pt idx="288">
                  <c:v>-5.447356036953781</c:v>
                </c:pt>
                <c:pt idx="289">
                  <c:v>-5.524518992493197</c:v>
                </c:pt>
                <c:pt idx="290">
                  <c:v>-5.600809550961219</c:v>
                </c:pt>
                <c:pt idx="291">
                  <c:v>-5.676215665035739</c:v>
                </c:pt>
                <c:pt idx="292">
                  <c:v>-5.750725427060513</c:v>
                </c:pt>
                <c:pt idx="293">
                  <c:v>-5.824327070925537</c:v>
                </c:pt>
                <c:pt idx="294">
                  <c:v>-5.897008973925079</c:v>
                </c:pt>
                <c:pt idx="295">
                  <c:v>-5.968759658593064</c:v>
                </c:pt>
                <c:pt idx="296">
                  <c:v>-6.03956779451552</c:v>
                </c:pt>
                <c:pt idx="297">
                  <c:v>-6.109422200119813</c:v>
                </c:pt>
                <c:pt idx="298">
                  <c:v>-6.178311844440352</c:v>
                </c:pt>
                <c:pt idx="299">
                  <c:v>-6.246225848860553</c:v>
                </c:pt>
                <c:pt idx="300">
                  <c:v>-6.313153488830704</c:v>
                </c:pt>
                <c:pt idx="301">
                  <c:v>-6.379084195561525</c:v>
                </c:pt>
                <c:pt idx="302">
                  <c:v>-6.444007557693124</c:v>
                </c:pt>
                <c:pt idx="303">
                  <c:v>-6.507913322939089</c:v>
                </c:pt>
                <c:pt idx="304">
                  <c:v>-6.57079139970547</c:v>
                </c:pt>
                <c:pt idx="305">
                  <c:v>-6.632631858684377</c:v>
                </c:pt>
                <c:pt idx="306">
                  <c:v>-6.693424934421951</c:v>
                </c:pt>
                <c:pt idx="307">
                  <c:v>-6.753161026860467</c:v>
                </c:pt>
                <c:pt idx="308">
                  <c:v>-6.811830702854312</c:v>
                </c:pt>
                <c:pt idx="309">
                  <c:v>-6.869424697659607</c:v>
                </c:pt>
                <c:pt idx="310">
                  <c:v>-6.925933916397239</c:v>
                </c:pt>
                <c:pt idx="311">
                  <c:v>-6.981349435489063</c:v>
                </c:pt>
                <c:pt idx="312">
                  <c:v>-7.035662504067063</c:v>
                </c:pt>
                <c:pt idx="313">
                  <c:v>-7.088864545355227</c:v>
                </c:pt>
                <c:pt idx="314">
                  <c:v>-7.140947158023942</c:v>
                </c:pt>
                <c:pt idx="315">
                  <c:v>-7.191902117516677</c:v>
                </c:pt>
                <c:pt idx="316">
                  <c:v>-7.241721377348751</c:v>
                </c:pt>
                <c:pt idx="317">
                  <c:v>-7.290397070377988</c:v>
                </c:pt>
                <c:pt idx="318">
                  <c:v>-7.337921510047042</c:v>
                </c:pt>
                <c:pt idx="319">
                  <c:v>-7.384287191597209</c:v>
                </c:pt>
                <c:pt idx="320">
                  <c:v>-7.429486793253533</c:v>
                </c:pt>
                <c:pt idx="321">
                  <c:v>-7.473513177381019</c:v>
                </c:pt>
                <c:pt idx="322">
                  <c:v>-7.51635939161175</c:v>
                </c:pt>
                <c:pt idx="323">
                  <c:v>-7.558018669942776</c:v>
                </c:pt>
                <c:pt idx="324">
                  <c:v>-7.598484433804548</c:v>
                </c:pt>
                <c:pt idx="325">
                  <c:v>-7.637750293099767</c:v>
                </c:pt>
                <c:pt idx="326">
                  <c:v>-7.675810047212471</c:v>
                </c:pt>
                <c:pt idx="327">
                  <c:v>-7.712657685987193</c:v>
                </c:pt>
                <c:pt idx="328">
                  <c:v>-7.748287390678048</c:v>
                </c:pt>
                <c:pt idx="329">
                  <c:v>-7.782693534867592</c:v>
                </c:pt>
                <c:pt idx="330">
                  <c:v>-7.815870685355311</c:v>
                </c:pt>
                <c:pt idx="331">
                  <c:v>-7.847813603015597</c:v>
                </c:pt>
                <c:pt idx="332">
                  <c:v>-7.87851724362508</c:v>
                </c:pt>
                <c:pt idx="333">
                  <c:v>-7.907976758659174</c:v>
                </c:pt>
                <c:pt idx="334">
                  <c:v>-7.936187496057733</c:v>
                </c:pt>
                <c:pt idx="335">
                  <c:v>-7.963145000959668</c:v>
                </c:pt>
                <c:pt idx="336">
                  <c:v>-7.988845016406437</c:v>
                </c:pt>
                <c:pt idx="337">
                  <c:v>-8.013283484014268</c:v>
                </c:pt>
                <c:pt idx="338">
                  <c:v>-8.03645654461504</c:v>
                </c:pt>
                <c:pt idx="339">
                  <c:v>-8.058360538865706</c:v>
                </c:pt>
                <c:pt idx="340">
                  <c:v>-8.078992007826132</c:v>
                </c:pt>
                <c:pt idx="341">
                  <c:v>-8.098347693505328</c:v>
                </c:pt>
                <c:pt idx="342">
                  <c:v>-8.116424539375927</c:v>
                </c:pt>
                <c:pt idx="343">
                  <c:v>-8.133219690856848</c:v>
                </c:pt>
                <c:pt idx="344">
                  <c:v>-8.148730495764072</c:v>
                </c:pt>
                <c:pt idx="345">
                  <c:v>-8.162954504729468</c:v>
                </c:pt>
                <c:pt idx="346">
                  <c:v>-8.175889471587572</c:v>
                </c:pt>
                <c:pt idx="347">
                  <c:v>-8.18753335373029</c:v>
                </c:pt>
                <c:pt idx="348">
                  <c:v>-8.197884312429456</c:v>
                </c:pt>
                <c:pt idx="349">
                  <c:v>-8.206940713127188</c:v>
                </c:pt>
                <c:pt idx="350">
                  <c:v>-8.214701125694013</c:v>
                </c:pt>
                <c:pt idx="351">
                  <c:v>-8.221164324654698</c:v>
                </c:pt>
                <c:pt idx="352">
                  <c:v>-8.22632928938177</c:v>
                </c:pt>
                <c:pt idx="353">
                  <c:v>-8.230195204256693</c:v>
                </c:pt>
                <c:pt idx="354">
                  <c:v>-8.232761458798661</c:v>
                </c:pt>
                <c:pt idx="355">
                  <c:v>-8.234027647761</c:v>
                </c:pt>
                <c:pt idx="356">
                  <c:v>-8.23399357119516</c:v>
                </c:pt>
                <c:pt idx="357">
                  <c:v>-8.2326592344823</c:v>
                </c:pt>
                <c:pt idx="358">
                  <c:v>-8.230024848332429</c:v>
                </c:pt>
                <c:pt idx="359">
                  <c:v>-8.226090828751129</c:v>
                </c:pt>
                <c:pt idx="360">
                  <c:v>-8.220857796973874</c:v>
                </c:pt>
                <c:pt idx="361">
                  <c:v>-8.21432657936792</c:v>
                </c:pt>
                <c:pt idx="362">
                  <c:v>-8.20649820730181</c:v>
                </c:pt>
                <c:pt idx="363">
                  <c:v>-8.197373916982512</c:v>
                </c:pt>
                <c:pt idx="364">
                  <c:v>-8.186955149260198</c:v>
                </c:pt>
                <c:pt idx="365">
                  <c:v>-8.175243549400722</c:v>
                </c:pt>
                <c:pt idx="366">
                  <c:v>-8.162240966825804</c:v>
                </c:pt>
                <c:pt idx="367">
                  <c:v>-8.147949454820983</c:v>
                </c:pt>
                <c:pt idx="368">
                  <c:v>-8.132371270211376</c:v>
                </c:pt>
                <c:pt idx="369">
                  <c:v>-8.11550887300529</c:v>
                </c:pt>
                <c:pt idx="370">
                  <c:v>-8.097364926005765</c:v>
                </c:pt>
                <c:pt idx="371">
                  <c:v>-8.077942294390064</c:v>
                </c:pt>
                <c:pt idx="372">
                  <c:v>-8.057244045257236</c:v>
                </c:pt>
                <c:pt idx="373">
                  <c:v>-8.035273447143773</c:v>
                </c:pt>
                <c:pt idx="374">
                  <c:v>-8.012033969507463</c:v>
                </c:pt>
                <c:pt idx="375">
                  <c:v>-7.98752928217952</c:v>
                </c:pt>
                <c:pt idx="376">
                  <c:v>-7.96176325478506</c:v>
                </c:pt>
                <c:pt idx="377">
                  <c:v>-7.934739956132041</c:v>
                </c:pt>
                <c:pt idx="378">
                  <c:v>-7.906463653568743</c:v>
                </c:pt>
                <c:pt idx="379">
                  <c:v>-7.876938812309889</c:v>
                </c:pt>
                <c:pt idx="380">
                  <c:v>-7.846170094731528</c:v>
                </c:pt>
                <c:pt idx="381">
                  <c:v>-7.814162359634789</c:v>
                </c:pt>
                <c:pt idx="382">
                  <c:v>-7.780920661478603</c:v>
                </c:pt>
                <c:pt idx="383">
                  <c:v>-7.746450249581535</c:v>
                </c:pt>
                <c:pt idx="384">
                  <c:v>-7.71075656729285</c:v>
                </c:pt>
                <c:pt idx="385">
                  <c:v>-7.673845251132929</c:v>
                </c:pt>
                <c:pt idx="386">
                  <c:v>-7.635722129903185</c:v>
                </c:pt>
                <c:pt idx="387">
                  <c:v>-7.596393223765621</c:v>
                </c:pt>
                <c:pt idx="388">
                  <c:v>-7.55586474329216</c:v>
                </c:pt>
                <c:pt idx="389">
                  <c:v>-7.514143088483905</c:v>
                </c:pt>
                <c:pt idx="390">
                  <c:v>-7.471234847760507</c:v>
                </c:pt>
                <c:pt idx="391">
                  <c:v>-7.427146796919748</c:v>
                </c:pt>
                <c:pt idx="392">
                  <c:v>-7.381885898067559</c:v>
                </c:pt>
                <c:pt idx="393">
                  <c:v>-7.335459298518604</c:v>
                </c:pt>
                <c:pt idx="394">
                  <c:v>-7.287874329667622</c:v>
                </c:pt>
                <c:pt idx="395">
                  <c:v>-7.2391385058317</c:v>
                </c:pt>
                <c:pt idx="396">
                  <c:v>-7.189259523063663</c:v>
                </c:pt>
                <c:pt idx="397">
                  <c:v>-7.138245257936756</c:v>
                </c:pt>
                <c:pt idx="398">
                  <c:v>-7.086103766300827</c:v>
                </c:pt>
                <c:pt idx="399">
                  <c:v>-7.032843282010204</c:v>
                </c:pt>
                <c:pt idx="400">
                  <c:v>-6.978472215623447</c:v>
                </c:pt>
                <c:pt idx="401">
                  <c:v>-6.922999153075216</c:v>
                </c:pt>
                <c:pt idx="402">
                  <c:v>-6.866432854320426</c:v>
                </c:pt>
                <c:pt idx="403">
                  <c:v>-6.808782251950936</c:v>
                </c:pt>
                <c:pt idx="404">
                  <c:v>-6.750056449784966</c:v>
                </c:pt>
                <c:pt idx="405">
                  <c:v>-6.690264721429487</c:v>
                </c:pt>
                <c:pt idx="406">
                  <c:v>-6.629416508815781</c:v>
                </c:pt>
                <c:pt idx="407">
                  <c:v>-6.567521420708443</c:v>
                </c:pt>
                <c:pt idx="408">
                  <c:v>-6.504589231188016</c:v>
                </c:pt>
                <c:pt idx="409">
                  <c:v>-6.440629878107534</c:v>
                </c:pt>
                <c:pt idx="410">
                  <c:v>-6.3756534615232</c:v>
                </c:pt>
                <c:pt idx="411">
                  <c:v>-6.309670242099449</c:v>
                </c:pt>
                <c:pt idx="412">
                  <c:v>-6.242690639488642</c:v>
                </c:pt>
                <c:pt idx="413">
                  <c:v>-6.174725230685674</c:v>
                </c:pt>
                <c:pt idx="414">
                  <c:v>-6.105784748357709</c:v>
                </c:pt>
                <c:pt idx="415">
                  <c:v>-6.035880079149353</c:v>
                </c:pt>
                <c:pt idx="416">
                  <c:v>-5.965022261963497</c:v>
                </c:pt>
                <c:pt idx="417">
                  <c:v>-5.893222486218133</c:v>
                </c:pt>
                <c:pt idx="418">
                  <c:v>-5.820492090079385</c:v>
                </c:pt>
                <c:pt idx="419">
                  <c:v>-5.746842558671057</c:v>
                </c:pt>
                <c:pt idx="420">
                  <c:v>-5.672285522260978</c:v>
                </c:pt>
                <c:pt idx="421">
                  <c:v>-5.596832754424422</c:v>
                </c:pt>
                <c:pt idx="422">
                  <c:v>-5.520496170184904</c:v>
                </c:pt>
                <c:pt idx="423">
                  <c:v>-5.443287824132625</c:v>
                </c:pt>
                <c:pt idx="424">
                  <c:v>-5.365219908520901</c:v>
                </c:pt>
                <c:pt idx="425">
                  <c:v>-5.286304751340824</c:v>
                </c:pt>
                <c:pt idx="426">
                  <c:v>-5.206554814374519</c:v>
                </c:pt>
                <c:pt idx="427">
                  <c:v>-5.125982691227246</c:v>
                </c:pt>
                <c:pt idx="428">
                  <c:v>-5.044601105338704</c:v>
                </c:pt>
                <c:pt idx="429">
                  <c:v>-4.962422907973826</c:v>
                </c:pt>
                <c:pt idx="430">
                  <c:v>-4.879461076193388</c:v>
                </c:pt>
                <c:pt idx="431">
                  <c:v>-4.795728710804748</c:v>
                </c:pt>
                <c:pt idx="432">
                  <c:v>-4.71123903429306</c:v>
                </c:pt>
                <c:pt idx="433">
                  <c:v>-4.626005388733252</c:v>
                </c:pt>
                <c:pt idx="434">
                  <c:v>-4.540041233683138</c:v>
                </c:pt>
                <c:pt idx="435">
                  <c:v>-4.453360144057967</c:v>
                </c:pt>
                <c:pt idx="436">
                  <c:v>-4.365975807986757</c:v>
                </c:pt>
                <c:pt idx="437">
                  <c:v>-4.277902024650754</c:v>
                </c:pt>
                <c:pt idx="438">
                  <c:v>-4.189152702104353</c:v>
                </c:pt>
                <c:pt idx="439">
                  <c:v>-4.099741855078823</c:v>
                </c:pt>
                <c:pt idx="440">
                  <c:v>-4.009683602769194</c:v>
                </c:pt>
                <c:pt idx="441">
                  <c:v>-3.918992166604639</c:v>
                </c:pt>
                <c:pt idx="442">
                  <c:v>-3.827681868002718</c:v>
                </c:pt>
                <c:pt idx="443">
                  <c:v>-3.735767126107831</c:v>
                </c:pt>
                <c:pt idx="444">
                  <c:v>-3.643262455514235</c:v>
                </c:pt>
                <c:pt idx="445">
                  <c:v>-3.550182463973995</c:v>
                </c:pt>
                <c:pt idx="446">
                  <c:v>-3.456541850090217</c:v>
                </c:pt>
                <c:pt idx="447">
                  <c:v>-3.36235540099594</c:v>
                </c:pt>
                <c:pt idx="448">
                  <c:v>-3.267637990019044</c:v>
                </c:pt>
                <c:pt idx="449">
                  <c:v>-3.172404574333548</c:v>
                </c:pt>
                <c:pt idx="450">
                  <c:v>-3.07667019259767</c:v>
                </c:pt>
                <c:pt idx="451">
                  <c:v>-2.980449962579016</c:v>
                </c:pt>
                <c:pt idx="452">
                  <c:v>-2.883759078767275</c:v>
                </c:pt>
                <c:pt idx="453">
                  <c:v>-2.786612809974806</c:v>
                </c:pt>
                <c:pt idx="454">
                  <c:v>-2.689026496925482</c:v>
                </c:pt>
                <c:pt idx="455">
                  <c:v>-2.591015549832179</c:v>
                </c:pt>
                <c:pt idx="456">
                  <c:v>-2.492595445963293</c:v>
                </c:pt>
                <c:pt idx="457">
                  <c:v>-2.393781727198669</c:v>
                </c:pt>
                <c:pt idx="458">
                  <c:v>-2.294589997575326</c:v>
                </c:pt>
                <c:pt idx="459">
                  <c:v>-2.195035920823361</c:v>
                </c:pt>
                <c:pt idx="460">
                  <c:v>-2.095135217892442</c:v>
                </c:pt>
                <c:pt idx="461">
                  <c:v>-1.994903664469244</c:v>
                </c:pt>
                <c:pt idx="462">
                  <c:v>-1.894357088486261</c:v>
                </c:pt>
                <c:pt idx="463">
                  <c:v>-1.793511367622354</c:v>
                </c:pt>
                <c:pt idx="464">
                  <c:v>-1.69238242679545</c:v>
                </c:pt>
                <c:pt idx="465">
                  <c:v>-1.590986235647781</c:v>
                </c:pt>
                <c:pt idx="466">
                  <c:v>-1.489338806024057</c:v>
                </c:pt>
                <c:pt idx="467">
                  <c:v>-1.387456189442979</c:v>
                </c:pt>
                <c:pt idx="468">
                  <c:v>-1.285354474562482</c:v>
                </c:pt>
                <c:pt idx="469">
                  <c:v>-1.18304978463912</c:v>
                </c:pt>
                <c:pt idx="470">
                  <c:v>-1.080558274981979</c:v>
                </c:pt>
                <c:pt idx="471">
                  <c:v>-0.977896130401535</c:v>
                </c:pt>
                <c:pt idx="472">
                  <c:v>-0.875079562653853</c:v>
                </c:pt>
                <c:pt idx="473">
                  <c:v>-0.772124807880525</c:v>
                </c:pt>
                <c:pt idx="474">
                  <c:v>-0.669048124044764</c:v>
                </c:pt>
                <c:pt idx="475">
                  <c:v>-0.56586578836405</c:v>
                </c:pt>
                <c:pt idx="476">
                  <c:v>-0.462594094739731</c:v>
                </c:pt>
                <c:pt idx="477">
                  <c:v>-0.359249351183998</c:v>
                </c:pt>
                <c:pt idx="478">
                  <c:v>-0.255847877244625</c:v>
                </c:pt>
                <c:pt idx="479">
                  <c:v>-0.152406001427887</c:v>
                </c:pt>
                <c:pt idx="480">
                  <c:v>-0.0489400586200709</c:v>
                </c:pt>
                <c:pt idx="481">
                  <c:v>0.0545336124920328</c:v>
                </c:pt>
                <c:pt idx="482">
                  <c:v>0.157998672001227</c:v>
                </c:pt>
                <c:pt idx="483">
                  <c:v>0.261438781360204</c:v>
                </c:pt>
                <c:pt idx="484">
                  <c:v>0.364837605961627</c:v>
                </c:pt>
                <c:pt idx="485">
                  <c:v>0.468178817717586</c:v>
                </c:pt>
                <c:pt idx="486">
                  <c:v>0.571446097638028</c:v>
                </c:pt>
                <c:pt idx="487">
                  <c:v>0.674623138407746</c:v>
                </c:pt>
                <c:pt idx="488">
                  <c:v>0.77769364696153</c:v>
                </c:pt>
                <c:pt idx="489">
                  <c:v>0.880641347057062</c:v>
                </c:pt>
                <c:pt idx="490">
                  <c:v>0.983449981845158</c:v>
                </c:pt>
                <c:pt idx="491">
                  <c:v>1.08610331643695</c:v>
                </c:pt>
                <c:pt idx="492">
                  <c:v>1.18858514046759</c:v>
                </c:pt>
                <c:pt idx="493">
                  <c:v>1.290879270656096</c:v>
                </c:pt>
                <c:pt idx="494">
                  <c:v>1.392969553360906</c:v>
                </c:pt>
                <c:pt idx="495">
                  <c:v>1.494839867130766</c:v>
                </c:pt>
                <c:pt idx="496">
                  <c:v>1.59647412525052</c:v>
                </c:pt>
                <c:pt idx="497">
                  <c:v>1.69785627828143</c:v>
                </c:pt>
                <c:pt idx="498">
                  <c:v>1.798970316595595</c:v>
                </c:pt>
                <c:pt idx="499">
                  <c:v>1.899800272904094</c:v>
                </c:pt>
                <c:pt idx="500">
                  <c:v>2.00033022477844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05916400"/>
        <c:axId val="-1068273728"/>
      </c:scatterChart>
      <c:valAx>
        <c:axId val="-110591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8273728"/>
        <c:crosses val="autoZero"/>
        <c:crossBetween val="midCat"/>
      </c:valAx>
      <c:valAx>
        <c:axId val="-10682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0591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Steps'!$E$1:$E$501</c:f>
              <c:numCache>
                <c:formatCode>General</c:formatCode>
                <c:ptCount val="501"/>
                <c:pt idx="0">
                  <c:v>0.0</c:v>
                </c:pt>
                <c:pt idx="1">
                  <c:v>160.0</c:v>
                </c:pt>
                <c:pt idx="2">
                  <c:v>158.9962694875554</c:v>
                </c:pt>
                <c:pt idx="3">
                  <c:v>157.945644097773</c:v>
                </c:pt>
                <c:pt idx="4">
                  <c:v>156.8487874368996</c:v>
                </c:pt>
                <c:pt idx="5">
                  <c:v>155.7063923122282</c:v>
                </c:pt>
                <c:pt idx="6">
                  <c:v>154.5191802945001</c:v>
                </c:pt>
                <c:pt idx="7">
                  <c:v>153.2879012621392</c:v>
                </c:pt>
                <c:pt idx="8">
                  <c:v>152.0133329276067</c:v>
                </c:pt>
                <c:pt idx="9">
                  <c:v>150.6962803461745</c:v>
                </c:pt>
                <c:pt idx="10">
                  <c:v>149.337575407429</c:v>
                </c:pt>
                <c:pt idx="11">
                  <c:v>147.9380763098237</c:v>
                </c:pt>
                <c:pt idx="12">
                  <c:v>146.498667018617</c:v>
                </c:pt>
                <c:pt idx="13">
                  <c:v>145.0202567075322</c:v>
                </c:pt>
                <c:pt idx="14">
                  <c:v>143.503779184497</c:v>
                </c:pt>
                <c:pt idx="15">
                  <c:v>141.9501923018227</c:v>
                </c:pt>
                <c:pt idx="16">
                  <c:v>140.3604773511955</c:v>
                </c:pt>
                <c:pt idx="17">
                  <c:v>138.7356384438643</c:v>
                </c:pt>
                <c:pt idx="18">
                  <c:v>137.0767018764137</c:v>
                </c:pt>
                <c:pt idx="19">
                  <c:v>135.3847154825247</c:v>
                </c:pt>
                <c:pt idx="20">
                  <c:v>133.6607479711316</c:v>
                </c:pt>
                <c:pt idx="21">
                  <c:v>131.9058882513941</c:v>
                </c:pt>
                <c:pt idx="22">
                  <c:v>130.1212447449093</c:v>
                </c:pt>
                <c:pt idx="23">
                  <c:v>128.3079446856</c:v>
                </c:pt>
                <c:pt idx="24">
                  <c:v>126.4671334077201</c:v>
                </c:pt>
                <c:pt idx="25">
                  <c:v>124.5999736224277</c:v>
                </c:pt>
                <c:pt idx="26">
                  <c:v>122.7076446833816</c:v>
                </c:pt>
                <c:pt idx="27">
                  <c:v>120.791341841827</c:v>
                </c:pt>
                <c:pt idx="28">
                  <c:v>118.8522754916389</c:v>
                </c:pt>
                <c:pt idx="29">
                  <c:v>116.8916704048015</c:v>
                </c:pt>
                <c:pt idx="30">
                  <c:v>114.9107649578058</c:v>
                </c:pt>
                <c:pt idx="31">
                  <c:v>112.9108103494539</c:v>
                </c:pt>
                <c:pt idx="32">
                  <c:v>110.8930698105651</c:v>
                </c:pt>
                <c:pt idx="33">
                  <c:v>108.8588178060813</c:v>
                </c:pt>
                <c:pt idx="34">
                  <c:v>106.8093392300773</c:v>
                </c:pt>
                <c:pt idx="35">
                  <c:v>104.7459285941832</c:v>
                </c:pt>
                <c:pt idx="36">
                  <c:v>102.6698892099327</c:v>
                </c:pt>
                <c:pt idx="37">
                  <c:v>100.5825323655526</c:v>
                </c:pt>
                <c:pt idx="38">
                  <c:v>98.48517649771408</c:v>
                </c:pt>
                <c:pt idx="39">
                  <c:v>96.37914635876905</c:v>
                </c:pt>
                <c:pt idx="40">
                  <c:v>94.265772179997</c:v>
                </c:pt>
                <c:pt idx="41">
                  <c:v>92.14638883139139</c:v>
                </c:pt>
                <c:pt idx="42">
                  <c:v>90.0223349785162</c:v>
                </c:pt>
                <c:pt idx="43">
                  <c:v>87.89495223696471</c:v>
                </c:pt>
                <c:pt idx="44">
                  <c:v>85.7655843249554</c:v>
                </c:pt>
                <c:pt idx="45">
                  <c:v>83.6355762145994</c:v>
                </c:pt>
                <c:pt idx="46">
                  <c:v>81.50627328237618</c:v>
                </c:pt>
                <c:pt idx="47">
                  <c:v>79.37902045935373</c:v>
                </c:pt>
                <c:pt idx="48">
                  <c:v>77.25516138169007</c:v>
                </c:pt>
                <c:pt idx="49">
                  <c:v>75.13603754195275</c:v>
                </c:pt>
                <c:pt idx="50">
                  <c:v>73.02298744179214</c:v>
                </c:pt>
                <c:pt idx="51">
                  <c:v>70.91734574650405</c:v>
                </c:pt>
                <c:pt idx="52">
                  <c:v>68.82044244201545</c:v>
                </c:pt>
                <c:pt idx="53">
                  <c:v>66.7336019948257</c:v>
                </c:pt>
                <c:pt idx="54">
                  <c:v>64.65814251543416</c:v>
                </c:pt>
                <c:pt idx="55">
                  <c:v>62.5953749257825</c:v>
                </c:pt>
                <c:pt idx="56">
                  <c:v>60.54660213123719</c:v>
                </c:pt>
                <c:pt idx="57">
                  <c:v>58.51311819763594</c:v>
                </c:pt>
                <c:pt idx="58">
                  <c:v>56.49620753391706</c:v>
                </c:pt>
                <c:pt idx="59">
                  <c:v>54.49714408084864</c:v>
                </c:pt>
                <c:pt idx="60">
                  <c:v>52.51719050636966</c:v>
                </c:pt>
                <c:pt idx="61">
                  <c:v>50.55759740805137</c:v>
                </c:pt>
                <c:pt idx="62">
                  <c:v>48.61960252318266</c:v>
                </c:pt>
                <c:pt idx="63">
                  <c:v>46.70442994697835</c:v>
                </c:pt>
                <c:pt idx="64">
                  <c:v>44.81328935940426</c:v>
                </c:pt>
                <c:pt idx="65">
                  <c:v>42.9473752611074</c:v>
                </c:pt>
                <c:pt idx="66">
                  <c:v>41.10786621893374</c:v>
                </c:pt>
                <c:pt idx="67">
                  <c:v>39.2959241215104</c:v>
                </c:pt>
                <c:pt idx="68">
                  <c:v>37.51269344536225</c:v>
                </c:pt>
                <c:pt idx="69">
                  <c:v>35.75930053202642</c:v>
                </c:pt>
                <c:pt idx="70">
                  <c:v>34.03685287662154</c:v>
                </c:pt>
                <c:pt idx="71">
                  <c:v>32.34643842832089</c:v>
                </c:pt>
                <c:pt idx="72">
                  <c:v>30.68912490317129</c:v>
                </c:pt>
                <c:pt idx="73">
                  <c:v>29.06595910969191</c:v>
                </c:pt>
                <c:pt idx="74">
                  <c:v>27.4779662876789</c:v>
                </c:pt>
                <c:pt idx="75">
                  <c:v>25.92614946063338</c:v>
                </c:pt>
                <c:pt idx="76">
                  <c:v>24.41148880222204</c:v>
                </c:pt>
                <c:pt idx="77">
                  <c:v>22.9349410171702</c:v>
                </c:pt>
                <c:pt idx="78">
                  <c:v>21.49743873697873</c:v>
                </c:pt>
                <c:pt idx="79">
                  <c:v>20.09988993084624</c:v>
                </c:pt>
                <c:pt idx="80">
                  <c:v>18.74317733216868</c:v>
                </c:pt>
                <c:pt idx="81">
                  <c:v>17.42815788097872</c:v>
                </c:pt>
                <c:pt idx="82">
                  <c:v>16.1556621826769</c:v>
                </c:pt>
                <c:pt idx="83">
                  <c:v>14.92649398339659</c:v>
                </c:pt>
                <c:pt idx="84">
                  <c:v>13.74142966233398</c:v>
                </c:pt>
                <c:pt idx="85">
                  <c:v>12.60121774136393</c:v>
                </c:pt>
                <c:pt idx="86">
                  <c:v>11.50657841225126</c:v>
                </c:pt>
                <c:pt idx="87">
                  <c:v>10.45820308175622</c:v>
                </c:pt>
                <c:pt idx="88">
                  <c:v>9.456753934921422</c:v>
                </c:pt>
                <c:pt idx="89">
                  <c:v>8.502863516816047</c:v>
                </c:pt>
                <c:pt idx="90">
                  <c:v>7.597134333001588</c:v>
                </c:pt>
                <c:pt idx="91">
                  <c:v>6.740138468971405</c:v>
                </c:pt>
                <c:pt idx="92">
                  <c:v>5.932417228804512</c:v>
                </c:pt>
                <c:pt idx="93">
                  <c:v>5.17448079326182</c:v>
                </c:pt>
                <c:pt idx="94">
                  <c:v>4.466807897540796</c:v>
                </c:pt>
                <c:pt idx="95">
                  <c:v>3.809845528892063</c:v>
                </c:pt>
                <c:pt idx="96">
                  <c:v>3.204008644288969</c:v>
                </c:pt>
                <c:pt idx="97">
                  <c:v>2.649679908328412</c:v>
                </c:pt>
                <c:pt idx="98">
                  <c:v>2.147209451528503</c:v>
                </c:pt>
                <c:pt idx="99">
                  <c:v>1.696914649175709</c:v>
                </c:pt>
                <c:pt idx="100">
                  <c:v>1.29907992086119</c:v>
                </c:pt>
                <c:pt idx="101">
                  <c:v>0.953956550832921</c:v>
                </c:pt>
                <c:pt idx="102">
                  <c:v>0.661762529277086</c:v>
                </c:pt>
                <c:pt idx="103">
                  <c:v>0.422682414628995</c:v>
                </c:pt>
                <c:pt idx="104">
                  <c:v>0.236867217000483</c:v>
                </c:pt>
                <c:pt idx="105">
                  <c:v>0.104434302797434</c:v>
                </c:pt>
                <c:pt idx="106">
                  <c:v>0.0254673205876694</c:v>
                </c:pt>
                <c:pt idx="107">
                  <c:v>1.6148266020548E-5</c:v>
                </c:pt>
                <c:pt idx="108">
                  <c:v>0.0280968615499695</c:v>
                </c:pt>
                <c:pt idx="109">
                  <c:v>0.109691723825747</c:v>
                </c:pt>
                <c:pt idx="110">
                  <c:v>0.244749197351305</c:v>
                </c:pt>
                <c:pt idx="111">
                  <c:v>0.433183975809088</c:v>
                </c:pt>
                <c:pt idx="112">
                  <c:v>0.674877038188041</c:v>
                </c:pt>
                <c:pt idx="113">
                  <c:v>0.969675723960819</c:v>
                </c:pt>
                <c:pt idx="114">
                  <c:v>1.317393829508717</c:v>
                </c:pt>
                <c:pt idx="115">
                  <c:v>1.717811725733417</c:v>
                </c:pt>
                <c:pt idx="116">
                  <c:v>2.170676496781256</c:v>
                </c:pt>
                <c:pt idx="117">
                  <c:v>2.675702099792404</c:v>
                </c:pt>
                <c:pt idx="118">
                  <c:v>3.23256954557404</c:v>
                </c:pt>
                <c:pt idx="119">
                  <c:v>3.840927100083422</c:v>
                </c:pt>
                <c:pt idx="120">
                  <c:v>4.500390506593556</c:v>
                </c:pt>
                <c:pt idx="121">
                  <c:v>5.210543228401193</c:v>
                </c:pt>
                <c:pt idx="122">
                  <c:v>5.970936711923786</c:v>
                </c:pt>
                <c:pt idx="123">
                  <c:v>6.781090670019284</c:v>
                </c:pt>
                <c:pt idx="124">
                  <c:v>7.640493385349768</c:v>
                </c:pt>
                <c:pt idx="125">
                  <c:v>8.548602033597351</c:v>
                </c:pt>
                <c:pt idx="126">
                  <c:v>9.504843026328163</c:v>
                </c:pt>
                <c:pt idx="127">
                  <c:v>10.50861237328786</c:v>
                </c:pt>
                <c:pt idx="128">
                  <c:v>11.55927606389985</c:v>
                </c:pt>
                <c:pt idx="129">
                  <c:v>12.6561704677252</c:v>
                </c:pt>
                <c:pt idx="130">
                  <c:v>13.79860275363139</c:v>
                </c:pt>
                <c:pt idx="131">
                  <c:v>14.98585132740507</c:v>
                </c:pt>
                <c:pt idx="132">
                  <c:v>16.21716628753239</c:v>
                </c:pt>
                <c:pt idx="133">
                  <c:v>17.49176989885916</c:v>
                </c:pt>
                <c:pt idx="134">
                  <c:v>18.80885708383144</c:v>
                </c:pt>
                <c:pt idx="135">
                  <c:v>20.16759593100653</c:v>
                </c:pt>
                <c:pt idx="136">
                  <c:v>21.56712822051294</c:v>
                </c:pt>
                <c:pt idx="137">
                  <c:v>23.0065699661276</c:v>
                </c:pt>
                <c:pt idx="138">
                  <c:v>24.48501197362788</c:v>
                </c:pt>
                <c:pt idx="139">
                  <c:v>26.00152041506568</c:v>
                </c:pt>
                <c:pt idx="140">
                  <c:v>27.55513741860091</c:v>
                </c:pt>
                <c:pt idx="141">
                  <c:v>29.14488167352191</c:v>
                </c:pt>
                <c:pt idx="142">
                  <c:v>30.7697490500704</c:v>
                </c:pt>
                <c:pt idx="143">
                  <c:v>32.42871323367977</c:v>
                </c:pt>
                <c:pt idx="144">
                  <c:v>34.12072637322587</c:v>
                </c:pt>
                <c:pt idx="145">
                  <c:v>35.84471974288093</c:v>
                </c:pt>
                <c:pt idx="146">
                  <c:v>37.59960441715258</c:v>
                </c:pt>
                <c:pt idx="147">
                  <c:v>39.3842719586816</c:v>
                </c:pt>
                <c:pt idx="148">
                  <c:v>41.19759511836394</c:v>
                </c:pt>
                <c:pt idx="149">
                  <c:v>43.03842854735475</c:v>
                </c:pt>
                <c:pt idx="150">
                  <c:v>44.9056095205048</c:v>
                </c:pt>
                <c:pt idx="151">
                  <c:v>46.79795867077226</c:v>
                </c:pt>
                <c:pt idx="152">
                  <c:v>48.71428073414599</c:v>
                </c:pt>
                <c:pt idx="153">
                  <c:v>50.65336530460987</c:v>
                </c:pt>
                <c:pt idx="154">
                  <c:v>52.61398759867126</c:v>
                </c:pt>
                <c:pt idx="155">
                  <c:v>54.59490922897061</c:v>
                </c:pt>
                <c:pt idx="156">
                  <c:v>56.59487898648384</c:v>
                </c:pt>
                <c:pt idx="157">
                  <c:v>58.61263363082312</c:v>
                </c:pt>
                <c:pt idx="158">
                  <c:v>60.64689868813708</c:v>
                </c:pt>
                <c:pt idx="159">
                  <c:v>62.69638925610644</c:v>
                </c:pt>
                <c:pt idx="160">
                  <c:v>64.75981081552646</c:v>
                </c:pt>
                <c:pt idx="161">
                  <c:v>66.83586004796388</c:v>
                </c:pt>
                <c:pt idx="162">
                  <c:v>68.9232256589715</c:v>
                </c:pt>
                <c:pt idx="163">
                  <c:v>71.0205892063409</c:v>
                </c:pt>
                <c:pt idx="164">
                  <c:v>73.12662593286953</c:v>
                </c:pt>
                <c:pt idx="165">
                  <c:v>75.240005603117</c:v>
                </c:pt>
                <c:pt idx="166">
                  <c:v>77.35939334362126</c:v>
                </c:pt>
                <c:pt idx="167">
                  <c:v>79.4834504860443</c:v>
                </c:pt>
                <c:pt idx="168">
                  <c:v>81.610835412715</c:v>
                </c:pt>
                <c:pt idx="169">
                  <c:v>83.74020440403478</c:v>
                </c:pt>
                <c:pt idx="170">
                  <c:v>85.87021248721072</c:v>
                </c:pt>
                <c:pt idx="171">
                  <c:v>87.99951428578053</c:v>
                </c:pt>
                <c:pt idx="172">
                  <c:v>90.12676486939228</c:v>
                </c:pt>
                <c:pt idx="173">
                  <c:v>92.25062060330245</c:v>
                </c:pt>
                <c:pt idx="174">
                  <c:v>94.36973999705546</c:v>
                </c:pt>
                <c:pt idx="175">
                  <c:v>96.4827845518092</c:v>
                </c:pt>
                <c:pt idx="176">
                  <c:v>98.58841960577045</c:v>
                </c:pt>
                <c:pt idx="177">
                  <c:v>100.6853151772072</c:v>
                </c:pt>
                <c:pt idx="178">
                  <c:v>102.7721468045043</c:v>
                </c:pt>
                <c:pt idx="179">
                  <c:v>104.8475963827336</c:v>
                </c:pt>
                <c:pt idx="180">
                  <c:v>106.9103529962071</c:v>
                </c:pt>
                <c:pt idx="181">
                  <c:v>108.9591137464912</c:v>
                </c:pt>
                <c:pt idx="182">
                  <c:v>110.9925845753558</c:v>
                </c:pt>
                <c:pt idx="183">
                  <c:v>113.0094810821398</c:v>
                </c:pt>
                <c:pt idx="184">
                  <c:v>115.0085293350172</c:v>
                </c:pt>
                <c:pt idx="185">
                  <c:v>116.98846667565</c:v>
                </c:pt>
                <c:pt idx="186">
                  <c:v>118.9480425167203</c:v>
                </c:pt>
                <c:pt idx="187">
                  <c:v>120.8860191318399</c:v>
                </c:pt>
                <c:pt idx="188">
                  <c:v>122.8011724373334</c:v>
                </c:pt>
                <c:pt idx="189">
                  <c:v>124.692292765407</c:v>
                </c:pt>
                <c:pt idx="190">
                  <c:v>126.5581856282102</c:v>
                </c:pt>
                <c:pt idx="191">
                  <c:v>128.39767247231</c:v>
                </c:pt>
                <c:pt idx="192">
                  <c:v>130.2095914231003</c:v>
                </c:pt>
                <c:pt idx="193">
                  <c:v>131.9927980186762</c:v>
                </c:pt>
                <c:pt idx="194">
                  <c:v>133.7461659327108</c:v>
                </c:pt>
                <c:pt idx="195">
                  <c:v>135.4685876858755</c:v>
                </c:pt>
                <c:pt idx="196">
                  <c:v>137.1589753453578</c:v>
                </c:pt>
                <c:pt idx="197">
                  <c:v>138.8162612120315</c:v>
                </c:pt>
                <c:pt idx="198">
                  <c:v>140.4393984948473</c:v>
                </c:pt>
                <c:pt idx="199">
                  <c:v>142.0273619720173</c:v>
                </c:pt>
                <c:pt idx="200">
                  <c:v>143.5791486385753</c:v>
                </c:pt>
                <c:pt idx="201">
                  <c:v>145.093778339905</c:v>
                </c:pt>
                <c:pt idx="202">
                  <c:v>146.5702943908345</c:v>
                </c:pt>
                <c:pt idx="203">
                  <c:v>148.0077641799071</c:v>
                </c:pt>
                <c:pt idx="204">
                  <c:v>149.4052797584466</c:v>
                </c:pt>
                <c:pt idx="205">
                  <c:v>150.7619584140445</c:v>
                </c:pt>
                <c:pt idx="206">
                  <c:v>152.0769432281077</c:v>
                </c:pt>
                <c:pt idx="207">
                  <c:v>153.3494036171134</c:v>
                </c:pt>
                <c:pt idx="208">
                  <c:v>154.5785358572306</c:v>
                </c:pt>
                <c:pt idx="209">
                  <c:v>155.7635635919761</c:v>
                </c:pt>
                <c:pt idx="210">
                  <c:v>156.903738322584</c:v>
                </c:pt>
                <c:pt idx="211">
                  <c:v>157.99833988078</c:v>
                </c:pt>
                <c:pt idx="212">
                  <c:v>159.0466768836612</c:v>
                </c:pt>
                <c:pt idx="213">
                  <c:v>160.0480871703937</c:v>
                </c:pt>
                <c:pt idx="214">
                  <c:v>161.0019382204535</c:v>
                </c:pt>
                <c:pt idx="215">
                  <c:v>161.9076275531453</c:v>
                </c:pt>
                <c:pt idx="216">
                  <c:v>162.7645831081467</c:v>
                </c:pt>
                <c:pt idx="217">
                  <c:v>163.5722636068392</c:v>
                </c:pt>
                <c:pt idx="218">
                  <c:v>164.3301588941954</c:v>
                </c:pt>
                <c:pt idx="219">
                  <c:v>165.0377902610083</c:v>
                </c:pt>
                <c:pt idx="220">
                  <c:v>165.694710746258</c:v>
                </c:pt>
                <c:pt idx="221">
                  <c:v>166.3005054194261</c:v>
                </c:pt>
                <c:pt idx="222">
                  <c:v>166.8547916425777</c:v>
                </c:pt>
                <c:pt idx="223">
                  <c:v>167.357219312047</c:v>
                </c:pt>
                <c:pt idx="224">
                  <c:v>167.8074710795733</c:v>
                </c:pt>
                <c:pt idx="225">
                  <c:v>168.2052625527474</c:v>
                </c:pt>
                <c:pt idx="226">
                  <c:v>168.5503424746427</c:v>
                </c:pt>
                <c:pt idx="227">
                  <c:v>168.8424928825161</c:v>
                </c:pt>
                <c:pt idx="228">
                  <c:v>169.08152924548</c:v>
                </c:pt>
                <c:pt idx="229">
                  <c:v>169.2673005810574</c:v>
                </c:pt>
                <c:pt idx="230">
                  <c:v>169.3996895505471</c:v>
                </c:pt>
                <c:pt idx="231">
                  <c:v>169.478612533138</c:v>
                </c:pt>
                <c:pt idx="232">
                  <c:v>169.5040196787266</c:v>
                </c:pt>
                <c:pt idx="233">
                  <c:v>169.4758949394043</c:v>
                </c:pt>
                <c:pt idx="234">
                  <c:v>169.3942560795927</c:v>
                </c:pt>
                <c:pt idx="235">
                  <c:v>169.2591546648243</c:v>
                </c:pt>
                <c:pt idx="236">
                  <c:v>169.070676029171</c:v>
                </c:pt>
                <c:pt idx="237">
                  <c:v>168.8289392213454</c:v>
                </c:pt>
                <c:pt idx="238">
                  <c:v>168.534096929506</c:v>
                </c:pt>
                <c:pt idx="239">
                  <c:v>168.1863353848142</c:v>
                </c:pt>
                <c:pt idx="240">
                  <c:v>167.7858742438058</c:v>
                </c:pt>
                <c:pt idx="241">
                  <c:v>167.3329664496492</c:v>
                </c:pt>
                <c:pt idx="242">
                  <c:v>166.8278980723788</c:v>
                </c:pt>
                <c:pt idx="243">
                  <c:v>166.270988128205</c:v>
                </c:pt>
                <c:pt idx="244">
                  <c:v>165.6625883780138</c:v>
                </c:pt>
                <c:pt idx="245">
                  <c:v>165.0030831051843</c:v>
                </c:pt>
                <c:pt idx="246">
                  <c:v>164.2928888728636</c:v>
                </c:pt>
                <c:pt idx="247">
                  <c:v>163.5324542608536</c:v>
                </c:pt>
                <c:pt idx="248">
                  <c:v>162.7222595822743</c:v>
                </c:pt>
                <c:pt idx="249">
                  <c:v>161.862816580184</c:v>
                </c:pt>
                <c:pt idx="250">
                  <c:v>160.9546681043468</c:v>
                </c:pt>
                <c:pt idx="251">
                  <c:v>159.9983877683529</c:v>
                </c:pt>
                <c:pt idx="252">
                  <c:v>158.994579587307</c:v>
                </c:pt>
                <c:pt idx="253">
                  <c:v>157.9438775963144</c:v>
                </c:pt>
                <c:pt idx="254">
                  <c:v>156.8469454500058</c:v>
                </c:pt>
                <c:pt idx="255">
                  <c:v>155.704476003353</c:v>
                </c:pt>
                <c:pt idx="256">
                  <c:v>154.517190874041</c:v>
                </c:pt>
                <c:pt idx="257">
                  <c:v>153.2858399866734</c:v>
                </c:pt>
                <c:pt idx="258">
                  <c:v>152.011201099097</c:v>
                </c:pt>
                <c:pt idx="259">
                  <c:v>150.6940793111474</c:v>
                </c:pt>
                <c:pt idx="260">
                  <c:v>149.3353065561235</c:v>
                </c:pt>
                <c:pt idx="261">
                  <c:v>147.9357410753139</c:v>
                </c:pt>
                <c:pt idx="262">
                  <c:v>146.4962668759064</c:v>
                </c:pt>
                <c:pt idx="263">
                  <c:v>145.0177931726224</c:v>
                </c:pt>
                <c:pt idx="264">
                  <c:v>143.50125381343</c:v>
                </c:pt>
                <c:pt idx="265">
                  <c:v>141.9476066896977</c:v>
                </c:pt>
                <c:pt idx="266">
                  <c:v>140.3578331311622</c:v>
                </c:pt>
                <c:pt idx="267">
                  <c:v>138.7329372860907</c:v>
                </c:pt>
                <c:pt idx="268">
                  <c:v>137.0739454870315</c:v>
                </c:pt>
                <c:pt idx="269">
                  <c:v>135.3819056025513</c:v>
                </c:pt>
                <c:pt idx="270">
                  <c:v>133.6578863753709</c:v>
                </c:pt>
                <c:pt idx="271">
                  <c:v>131.902976747315</c:v>
                </c:pt>
                <c:pt idx="272">
                  <c:v>130.1182851715043</c:v>
                </c:pt>
                <c:pt idx="273">
                  <c:v>128.3049389122237</c:v>
                </c:pt>
                <c:pt idx="274">
                  <c:v>126.4640833329086</c:v>
                </c:pt>
                <c:pt idx="275">
                  <c:v>124.5968811726988</c:v>
                </c:pt>
                <c:pt idx="276">
                  <c:v>122.7045118120186</c:v>
                </c:pt>
                <c:pt idx="277">
                  <c:v>120.7881705276446</c:v>
                </c:pt>
                <c:pt idx="278">
                  <c:v>118.8490677377334</c:v>
                </c:pt>
                <c:pt idx="279">
                  <c:v>116.8884282372858</c:v>
                </c:pt>
                <c:pt idx="280">
                  <c:v>114.9074904245293</c:v>
                </c:pt>
                <c:pt idx="281">
                  <c:v>112.9075055187092</c:v>
                </c:pt>
                <c:pt idx="282">
                  <c:v>110.8897367697816</c:v>
                </c:pt>
                <c:pt idx="283">
                  <c:v>108.8554586605068</c:v>
                </c:pt>
                <c:pt idx="284">
                  <c:v>106.8059561014479</c:v>
                </c:pt>
                <c:pt idx="285">
                  <c:v>104.7425236193836</c:v>
                </c:pt>
                <c:pt idx="286">
                  <c:v>102.6664645396464</c:v>
                </c:pt>
                <c:pt idx="287">
                  <c:v>100.5790901629031</c:v>
                </c:pt>
                <c:pt idx="288">
                  <c:v>98.48171893689901</c:v>
                </c:pt>
                <c:pt idx="289">
                  <c:v>96.37567562368666</c:v>
                </c:pt>
                <c:pt idx="290">
                  <c:v>94.26229046286678</c:v>
                </c:pt>
                <c:pt idx="291">
                  <c:v>92.14289833136951</c:v>
                </c:pt>
                <c:pt idx="292">
                  <c:v>90.01883790030621</c:v>
                </c:pt>
                <c:pt idx="293">
                  <c:v>87.8914507894253</c:v>
                </c:pt>
                <c:pt idx="294">
                  <c:v>85.76208071970495</c:v>
                </c:pt>
                <c:pt idx="295">
                  <c:v>83.6320726646192</c:v>
                </c:pt>
                <c:pt idx="296">
                  <c:v>81.50277200061261</c:v>
                </c:pt>
                <c:pt idx="297">
                  <c:v>79.37552365732051</c:v>
                </c:pt>
                <c:pt idx="298">
                  <c:v>77.25167126807137</c:v>
                </c:pt>
                <c:pt idx="299">
                  <c:v>75.13255632120815</c:v>
                </c:pt>
                <c:pt idx="300">
                  <c:v>73.01951731276421</c:v>
                </c:pt>
                <c:pt idx="301">
                  <c:v>70.91388890102954</c:v>
                </c:pt>
                <c:pt idx="302">
                  <c:v>68.81700106354073</c:v>
                </c:pt>
                <c:pt idx="303">
                  <c:v>66.73017825702777</c:v>
                </c:pt>
                <c:pt idx="304">
                  <c:v>64.65473858084769</c:v>
                </c:pt>
                <c:pt idx="305">
                  <c:v>62.5919929444338</c:v>
                </c:pt>
                <c:pt idx="306">
                  <c:v>60.54324423928632</c:v>
                </c:pt>
                <c:pt idx="307">
                  <c:v>58.5097865160273</c:v>
                </c:pt>
                <c:pt idx="308">
                  <c:v>56.49290416703985</c:v>
                </c:pt>
                <c:pt idx="309">
                  <c:v>54.49387111520765</c:v>
                </c:pt>
                <c:pt idx="310">
                  <c:v>52.51395000926733</c:v>
                </c:pt>
                <c:pt idx="311">
                  <c:v>50.55439142628208</c:v>
                </c:pt>
                <c:pt idx="312">
                  <c:v>48.61643308173983</c:v>
                </c:pt>
                <c:pt idx="313">
                  <c:v>46.7012990477755</c:v>
                </c:pt>
                <c:pt idx="314">
                  <c:v>44.81019898001045</c:v>
                </c:pt>
                <c:pt idx="315">
                  <c:v>42.94432735349815</c:v>
                </c:pt>
                <c:pt idx="316">
                  <c:v>41.10486270825818</c:v>
                </c:pt>
                <c:pt idx="317">
                  <c:v>39.2929669048752</c:v>
                </c:pt>
                <c:pt idx="318">
                  <c:v>37.50978439063341</c:v>
                </c:pt>
                <c:pt idx="319">
                  <c:v>35.75644147664944</c:v>
                </c:pt>
                <c:pt idx="320">
                  <c:v>34.03404562646084</c:v>
                </c:pt>
                <c:pt idx="321">
                  <c:v>32.34368475651916</c:v>
                </c:pt>
                <c:pt idx="322">
                  <c:v>30.68642654902955</c:v>
                </c:pt>
                <c:pt idx="323">
                  <c:v>29.06331777757091</c:v>
                </c:pt>
                <c:pt idx="324">
                  <c:v>27.47538364592256</c:v>
                </c:pt>
                <c:pt idx="325">
                  <c:v>25.92362714051506</c:v>
                </c:pt>
                <c:pt idx="326">
                  <c:v>24.40902839691414</c:v>
                </c:pt>
                <c:pt idx="327">
                  <c:v>22.93254408073791</c:v>
                </c:pt>
                <c:pt idx="328">
                  <c:v>21.4951067833984</c:v>
                </c:pt>
                <c:pt idx="329">
                  <c:v>20.09762443304911</c:v>
                </c:pt>
                <c:pt idx="330">
                  <c:v>18.74097972111055</c:v>
                </c:pt>
                <c:pt idx="331">
                  <c:v>17.42602954473609</c:v>
                </c:pt>
                <c:pt idx="332">
                  <c:v>16.15360446557025</c:v>
                </c:pt>
                <c:pt idx="333">
                  <c:v>14.92450818514126</c:v>
                </c:pt>
                <c:pt idx="334">
                  <c:v>13.73951703721921</c:v>
                </c:pt>
                <c:pt idx="335">
                  <c:v>12.59937949746064</c:v>
                </c:pt>
                <c:pt idx="336">
                  <c:v>11.50481571064897</c:v>
                </c:pt>
                <c:pt idx="337">
                  <c:v>10.4565170358297</c:v>
                </c:pt>
                <c:pt idx="338">
                  <c:v>9.45514560962742</c:v>
                </c:pt>
                <c:pt idx="339">
                  <c:v>8.501333928020667</c:v>
                </c:pt>
                <c:pt idx="340">
                  <c:v>7.595684446838612</c:v>
                </c:pt>
                <c:pt idx="341">
                  <c:v>6.738769201232058</c:v>
                </c:pt>
                <c:pt idx="342">
                  <c:v>5.93112944435903</c:v>
                </c:pt>
                <c:pt idx="343">
                  <c:v>5.17327530551316</c:v>
                </c:pt>
                <c:pt idx="344">
                  <c:v>4.465685467910879</c:v>
                </c:pt>
                <c:pt idx="345">
                  <c:v>3.808806866340828</c:v>
                </c:pt>
                <c:pt idx="346">
                  <c:v>3.203054404866581</c:v>
                </c:pt>
                <c:pt idx="347">
                  <c:v>2.648810694760872</c:v>
                </c:pt>
                <c:pt idx="348">
                  <c:v>2.146425812836955</c:v>
                </c:pt>
                <c:pt idx="349">
                  <c:v>1.696217080329661</c:v>
                </c:pt>
                <c:pt idx="350">
                  <c:v>1.298468862465874</c:v>
                </c:pt>
                <c:pt idx="351">
                  <c:v>0.953432388850996</c:v>
                </c:pt>
                <c:pt idx="352">
                  <c:v>0.661325594784851</c:v>
                </c:pt>
                <c:pt idx="353">
                  <c:v>0.422332983607271</c:v>
                </c:pt>
                <c:pt idx="354">
                  <c:v>0.236605510160297</c:v>
                </c:pt>
                <c:pt idx="355">
                  <c:v>0.104260485440612</c:v>
                </c:pt>
                <c:pt idx="356">
                  <c:v>0.0253815025024238</c:v>
                </c:pt>
                <c:pt idx="357">
                  <c:v>1.83836576066118E-5</c:v>
                </c:pt>
                <c:pt idx="358">
                  <c:v>0.0281871490064475</c:v>
                </c:pt>
                <c:pt idx="359">
                  <c:v>0.109870006318874</c:v>
                </c:pt>
                <c:pt idx="360">
                  <c:v>0.245015362272555</c:v>
                </c:pt>
                <c:pt idx="361">
                  <c:v>0.43353785504078</c:v>
                </c:pt>
                <c:pt idx="362">
                  <c:v>0.675318408209526</c:v>
                </c:pt>
                <c:pt idx="363">
                  <c:v>0.970204305989663</c:v>
                </c:pt>
                <c:pt idx="364">
                  <c:v>1.318009289676788</c:v>
                </c:pt>
                <c:pt idx="365">
                  <c:v>1.718513675297766</c:v>
                </c:pt>
                <c:pt idx="366">
                  <c:v>2.17146449236966</c:v>
                </c:pt>
                <c:pt idx="367">
                  <c:v>2.676575643683408</c:v>
                </c:pt>
                <c:pt idx="368">
                  <c:v>3.233528086011341</c:v>
                </c:pt>
                <c:pt idx="369">
                  <c:v>3.841970031624366</c:v>
                </c:pt>
                <c:pt idx="370">
                  <c:v>4.501517170491562</c:v>
                </c:pt>
                <c:pt idx="371">
                  <c:v>5.21175291302183</c:v>
                </c:pt>
                <c:pt idx="372">
                  <c:v>5.972228653194266</c:v>
                </c:pt>
                <c:pt idx="373">
                  <c:v>6.78246405191107</c:v>
                </c:pt>
                <c:pt idx="374">
                  <c:v>7.641947340394007</c:v>
                </c:pt>
                <c:pt idx="375">
                  <c:v>8.55013564343279</c:v>
                </c:pt>
                <c:pt idx="376">
                  <c:v>9.506455322281214</c:v>
                </c:pt>
                <c:pt idx="377">
                  <c:v>10.51030233698444</c:v>
                </c:pt>
                <c:pt idx="378">
                  <c:v>11.56104262790861</c:v>
                </c:pt>
                <c:pt idx="379">
                  <c:v>12.65801251623177</c:v>
                </c:pt>
                <c:pt idx="380">
                  <c:v>13.80051912314315</c:v>
                </c:pt>
                <c:pt idx="381">
                  <c:v>14.98784080748603</c:v>
                </c:pt>
                <c:pt idx="382">
                  <c:v>16.21922762156776</c:v>
                </c:pt>
                <c:pt idx="383">
                  <c:v>17.49390178484904</c:v>
                </c:pt>
                <c:pt idx="384">
                  <c:v>18.81105817521323</c:v>
                </c:pt>
                <c:pt idx="385">
                  <c:v>20.16986483750544</c:v>
                </c:pt>
                <c:pt idx="386">
                  <c:v>21.56946350902013</c:v>
                </c:pt>
                <c:pt idx="387">
                  <c:v>23.0089701616054</c:v>
                </c:pt>
                <c:pt idx="388">
                  <c:v>24.48747556004143</c:v>
                </c:pt>
                <c:pt idx="389">
                  <c:v>26.00404583634051</c:v>
                </c:pt>
                <c:pt idx="390">
                  <c:v>27.55772307960583</c:v>
                </c:pt>
                <c:pt idx="391">
                  <c:v>29.14752594107652</c:v>
                </c:pt>
                <c:pt idx="392">
                  <c:v>30.77245025397666</c:v>
                </c:pt>
                <c:pt idx="393">
                  <c:v>32.43146966777695</c:v>
                </c:pt>
                <c:pt idx="394">
                  <c:v>34.1235362964682</c:v>
                </c:pt>
                <c:pt idx="395">
                  <c:v>35.8475813804373</c:v>
                </c:pt>
                <c:pt idx="396">
                  <c:v>37.6025159615276</c:v>
                </c:pt>
                <c:pt idx="397">
                  <c:v>39.38723157085725</c:v>
                </c:pt>
                <c:pt idx="398">
                  <c:v>41.20060092896112</c:v>
                </c:pt>
                <c:pt idx="399">
                  <c:v>43.04147865781409</c:v>
                </c:pt>
                <c:pt idx="400">
                  <c:v>44.9087020042858</c:v>
                </c:pt>
                <c:pt idx="401">
                  <c:v>46.80109157457017</c:v>
                </c:pt>
                <c:pt idx="402">
                  <c:v>48.7174520791256</c:v>
                </c:pt>
                <c:pt idx="403">
                  <c:v>50.65657308765535</c:v>
                </c:pt>
                <c:pt idx="404">
                  <c:v>52.61722979365143</c:v>
                </c:pt>
                <c:pt idx="405">
                  <c:v>54.59818378801869</c:v>
                </c:pt>
                <c:pt idx="406">
                  <c:v>56.59818384129092</c:v>
                </c:pt>
                <c:pt idx="407">
                  <c:v>58.6159666939446</c:v>
                </c:pt>
                <c:pt idx="408">
                  <c:v>60.65025785431115</c:v>
                </c:pt>
                <c:pt idx="409">
                  <c:v>62.69977240358382</c:v>
                </c:pt>
                <c:pt idx="410">
                  <c:v>64.76321580741058</c:v>
                </c:pt>
                <c:pt idx="411">
                  <c:v>66.83928473356059</c:v>
                </c:pt>
                <c:pt idx="412">
                  <c:v>68.9266678751475</c:v>
                </c:pt>
                <c:pt idx="413">
                  <c:v>71.02404677889007</c:v>
                </c:pt>
                <c:pt idx="414">
                  <c:v>73.1300966778862</c:v>
                </c:pt>
                <c:pt idx="415">
                  <c:v>75.2434873283754</c:v>
                </c:pt>
                <c:pt idx="416">
                  <c:v>77.36288384996011</c:v>
                </c:pt>
                <c:pt idx="417">
                  <c:v>79.48694756875601</c:v>
                </c:pt>
                <c:pt idx="418">
                  <c:v>81.61433686293813</c:v>
                </c:pt>
                <c:pt idx="419">
                  <c:v>83.74370801014916</c:v>
                </c:pt>
                <c:pt idx="420">
                  <c:v>85.87371603623454</c:v>
                </c:pt>
                <c:pt idx="421">
                  <c:v>88.00301556476803</c:v>
                </c:pt>
                <c:pt idx="422">
                  <c:v>90.1302616668315</c:v>
                </c:pt>
                <c:pt idx="423">
                  <c:v>92.2541107105121</c:v>
                </c:pt>
                <c:pt idx="424">
                  <c:v>94.37322120958001</c:v>
                </c:pt>
                <c:pt idx="425">
                  <c:v>96.4862546708113</c:v>
                </c:pt>
                <c:pt idx="426">
                  <c:v>98.59187643941966</c:v>
                </c:pt>
                <c:pt idx="427">
                  <c:v>100.6887565420646</c:v>
                </c:pt>
                <c:pt idx="428">
                  <c:v>102.7755705269016</c:v>
                </c:pt>
                <c:pt idx="429">
                  <c:v>104.8510003001456</c:v>
                </c:pt>
                <c:pt idx="430">
                  <c:v>106.9137349586185</c:v>
                </c:pt>
                <c:pt idx="431">
                  <c:v>108.962471617754</c:v>
                </c:pt>
                <c:pt idx="432">
                  <c:v>110.9959162345385</c:v>
                </c:pt>
                <c:pt idx="433">
                  <c:v>113.0127844248675</c:v>
                </c:pt>
                <c:pt idx="434">
                  <c:v>115.0118022748003</c:v>
                </c:pt>
                <c:pt idx="435">
                  <c:v>116.9917071452023</c:v>
                </c:pt>
                <c:pt idx="436">
                  <c:v>118.9512484692651</c:v>
                </c:pt>
                <c:pt idx="437">
                  <c:v>120.8891885424019</c:v>
                </c:pt>
                <c:pt idx="438">
                  <c:v>122.8043033040188</c:v>
                </c:pt>
                <c:pt idx="439">
                  <c:v>124.6953831106673</c:v>
                </c:pt>
                <c:pt idx="440">
                  <c:v>126.5612335000913</c:v>
                </c:pt>
                <c:pt idx="441">
                  <c:v>128.4006759456854</c:v>
                </c:pt>
                <c:pt idx="442">
                  <c:v>130.2125486008868</c:v>
                </c:pt>
                <c:pt idx="443">
                  <c:v>131.9957070330325</c:v>
                </c:pt>
                <c:pt idx="444">
                  <c:v>133.7490249462168</c:v>
                </c:pt>
                <c:pt idx="445">
                  <c:v>135.4713948926933</c:v>
                </c:pt>
                <c:pt idx="446">
                  <c:v>137.161728972372</c:v>
                </c:pt>
                <c:pt idx="447">
                  <c:v>138.8189595199694</c:v>
                </c:pt>
                <c:pt idx="448">
                  <c:v>140.4420397793774</c:v>
                </c:pt>
                <c:pt idx="449">
                  <c:v>142.0299445648256</c:v>
                </c:pt>
                <c:pt idx="450">
                  <c:v>143.5816709084195</c:v>
                </c:pt>
                <c:pt idx="451">
                  <c:v>145.0962386936444</c:v>
                </c:pt>
                <c:pt idx="452">
                  <c:v>146.5726912744364</c:v>
                </c:pt>
                <c:pt idx="453">
                  <c:v>148.0100960794286</c:v>
                </c:pt>
                <c:pt idx="454">
                  <c:v>149.4075452009906</c:v>
                </c:pt>
                <c:pt idx="455">
                  <c:v>150.7641559686901</c:v>
                </c:pt>
                <c:pt idx="456">
                  <c:v>152.079071506814</c:v>
                </c:pt>
                <c:pt idx="457">
                  <c:v>153.3514612755963</c:v>
                </c:pt>
                <c:pt idx="458">
                  <c:v>154.5805215958118</c:v>
                </c:pt>
                <c:pt idx="459">
                  <c:v>155.765476156404</c:v>
                </c:pt>
                <c:pt idx="460">
                  <c:v>156.9055765048261</c:v>
                </c:pt>
                <c:pt idx="461">
                  <c:v>158.0001025197857</c:v>
                </c:pt>
                <c:pt idx="462">
                  <c:v>159.0483628660951</c:v>
                </c:pt>
                <c:pt idx="463">
                  <c:v>160.0496954313393</c:v>
                </c:pt>
                <c:pt idx="464">
                  <c:v>161.0034677440854</c:v>
                </c:pt>
                <c:pt idx="465">
                  <c:v>161.9090773733707</c:v>
                </c:pt>
                <c:pt idx="466">
                  <c:v>162.7659523092162</c:v>
                </c:pt>
                <c:pt idx="467">
                  <c:v>163.5735513239246</c:v>
                </c:pt>
                <c:pt idx="468">
                  <c:v>164.3313643139363</c:v>
                </c:pt>
                <c:pt idx="469">
                  <c:v>165.0389126220257</c:v>
                </c:pt>
                <c:pt idx="470">
                  <c:v>165.6957493396354</c:v>
                </c:pt>
                <c:pt idx="471">
                  <c:v>166.3014595891569</c:v>
                </c:pt>
                <c:pt idx="472">
                  <c:v>166.85566078598</c:v>
                </c:pt>
                <c:pt idx="473">
                  <c:v>167.3580028801439</c:v>
                </c:pt>
                <c:pt idx="474">
                  <c:v>167.8081685774398</c:v>
                </c:pt>
                <c:pt idx="475">
                  <c:v>168.2058735398232</c:v>
                </c:pt>
                <c:pt idx="476">
                  <c:v>168.5508665650103</c:v>
                </c:pt>
                <c:pt idx="477">
                  <c:v>168.8429297451443</c:v>
                </c:pt>
                <c:pt idx="478">
                  <c:v>169.0818786044335</c:v>
                </c:pt>
                <c:pt idx="479">
                  <c:v>169.2675622156706</c:v>
                </c:pt>
                <c:pt idx="480">
                  <c:v>169.3998632955638</c:v>
                </c:pt>
                <c:pt idx="481">
                  <c:v>169.4786982788156</c:v>
                </c:pt>
                <c:pt idx="482">
                  <c:v>169.5040173709058</c:v>
                </c:pt>
                <c:pt idx="483">
                  <c:v>169.4758045795425</c:v>
                </c:pt>
                <c:pt idx="484">
                  <c:v>169.3940777247642</c:v>
                </c:pt>
                <c:pt idx="485">
                  <c:v>169.258888427683</c:v>
                </c:pt>
                <c:pt idx="486">
                  <c:v>169.0703220778804</c:v>
                </c:pt>
                <c:pt idx="487">
                  <c:v>168.8284977794717</c:v>
                </c:pt>
                <c:pt idx="488">
                  <c:v>168.533568275877</c:v>
                </c:pt>
                <c:pt idx="489">
                  <c:v>168.1857198533431</c:v>
                </c:pt>
                <c:pt idx="490">
                  <c:v>167.7851722232807</c:v>
                </c:pt>
                <c:pt idx="491">
                  <c:v>167.3321783834871</c:v>
                </c:pt>
                <c:pt idx="492">
                  <c:v>166.8270244583458</c:v>
                </c:pt>
                <c:pt idx="493">
                  <c:v>166.2700295181017</c:v>
                </c:pt>
                <c:pt idx="494">
                  <c:v>165.6615453773267</c:v>
                </c:pt>
                <c:pt idx="495">
                  <c:v>165.0019563727038</c:v>
                </c:pt>
                <c:pt idx="496">
                  <c:v>164.2916791202674</c:v>
                </c:pt>
                <c:pt idx="497">
                  <c:v>163.5311622522575</c:v>
                </c:pt>
                <c:pt idx="498">
                  <c:v>162.7208861337493</c:v>
                </c:pt>
                <c:pt idx="499">
                  <c:v>161.8613625592411</c:v>
                </c:pt>
                <c:pt idx="500">
                  <c:v>160.9531344293887</c:v>
                </c:pt>
              </c:numCache>
            </c:numRef>
          </c:yVal>
          <c:smooth val="0"/>
        </c:ser>
        <c:ser>
          <c:idx val="1"/>
          <c:order val="1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Steps'!$F$1:$F$501</c:f>
              <c:numCache>
                <c:formatCode>General</c:formatCode>
                <c:ptCount val="501"/>
                <c:pt idx="0">
                  <c:v>0.0</c:v>
                </c:pt>
                <c:pt idx="1">
                  <c:v>10.0</c:v>
                </c:pt>
                <c:pt idx="2">
                  <c:v>11.02725906023784</c:v>
                </c:pt>
                <c:pt idx="3">
                  <c:v>12.10108487145338</c:v>
                </c:pt>
                <c:pt idx="4">
                  <c:v>13.22079917332335</c:v>
                </c:pt>
                <c:pt idx="5">
                  <c:v>14.38569472098887</c:v>
                </c:pt>
                <c:pt idx="6">
                  <c:v>15.59503573177227</c:v>
                </c:pt>
                <c:pt idx="7">
                  <c:v>16.84805834991937</c:v>
                </c:pt>
                <c:pt idx="8">
                  <c:v>18.14397112907346</c:v>
                </c:pt>
                <c:pt idx="9">
                  <c:v>19.48195553217637</c:v>
                </c:pt>
                <c:pt idx="10">
                  <c:v>20.86116644848083</c:v>
                </c:pt>
                <c:pt idx="11">
                  <c:v>22.28073272734757</c:v>
                </c:pt>
                <c:pt idx="12">
                  <c:v>23.73975772848992</c:v>
                </c:pt>
                <c:pt idx="13">
                  <c:v>25.23731988831856</c:v>
                </c:pt>
                <c:pt idx="14">
                  <c:v>26.77247330202842</c:v>
                </c:pt>
                <c:pt idx="15">
                  <c:v>28.34424832106037</c:v>
                </c:pt>
                <c:pt idx="16">
                  <c:v>29.95165216556004</c:v>
                </c:pt>
                <c:pt idx="17">
                  <c:v>31.59366955144708</c:v>
                </c:pt>
                <c:pt idx="18">
                  <c:v>33.26926333169888</c:v>
                </c:pt>
                <c:pt idx="19">
                  <c:v>34.97737515144338</c:v>
                </c:pt>
                <c:pt idx="20">
                  <c:v>36.71692611644753</c:v>
                </c:pt>
                <c:pt idx="21">
                  <c:v>38.48681747457901</c:v>
                </c:pt>
                <c:pt idx="22">
                  <c:v>40.2859313098107</c:v>
                </c:pt>
                <c:pt idx="23">
                  <c:v>42.11313124832972</c:v>
                </c:pt>
                <c:pt idx="24">
                  <c:v>43.96726317630497</c:v>
                </c:pt>
                <c:pt idx="25">
                  <c:v>45.84715596885967</c:v>
                </c:pt>
                <c:pt idx="26">
                  <c:v>47.75162222978874</c:v>
                </c:pt>
                <c:pt idx="27">
                  <c:v>49.67945904155354</c:v>
                </c:pt>
                <c:pt idx="28">
                  <c:v>51.6294487250804</c:v>
                </c:pt>
                <c:pt idx="29">
                  <c:v>53.60035960888282</c:v>
                </c:pt>
                <c:pt idx="30">
                  <c:v>55.590946807022</c:v>
                </c:pt>
                <c:pt idx="31">
                  <c:v>57.59995300541365</c:v>
                </c:pt>
                <c:pt idx="32">
                  <c:v>59.62610925598512</c:v>
                </c:pt>
                <c:pt idx="33">
                  <c:v>61.66813577818065</c:v>
                </c:pt>
                <c:pt idx="34">
                  <c:v>63.72474276730887</c:v>
                </c:pt>
                <c:pt idx="35">
                  <c:v>65.79463120922176</c:v>
                </c:pt>
                <c:pt idx="36">
                  <c:v>67.87649370081073</c:v>
                </c:pt>
                <c:pt idx="37">
                  <c:v>69.9690152758012</c:v>
                </c:pt>
                <c:pt idx="38">
                  <c:v>72.07087423532445</c:v>
                </c:pt>
                <c:pt idx="39">
                  <c:v>74.180742982742</c:v>
                </c:pt>
                <c:pt idx="40">
                  <c:v>76.29728886219504</c:v>
                </c:pt>
                <c:pt idx="41">
                  <c:v>78.41917500034956</c:v>
                </c:pt>
                <c:pt idx="42">
                  <c:v>80.54506115080537</c:v>
                </c:pt>
                <c:pt idx="43">
                  <c:v>82.67360454063544</c:v>
                </c:pt>
                <c:pt idx="44">
                  <c:v>84.80346071852136</c:v>
                </c:pt>
                <c:pt idx="45">
                  <c:v>86.9332844039487</c:v>
                </c:pt>
                <c:pt idx="46">
                  <c:v>89.06173033692633</c:v>
                </c:pt>
                <c:pt idx="47">
                  <c:v>91.18745412769243</c:v>
                </c:pt>
                <c:pt idx="48">
                  <c:v>93.30911310587123</c:v>
                </c:pt>
                <c:pt idx="49">
                  <c:v>95.42536716854346</c:v>
                </c:pt>
                <c:pt idx="50">
                  <c:v>97.53487962669533</c:v>
                </c:pt>
                <c:pt idx="51">
                  <c:v>99.63631804951092</c:v>
                </c:pt>
                <c:pt idx="52">
                  <c:v>101.7283551059752</c:v>
                </c:pt>
                <c:pt idx="53">
                  <c:v>103.8096694032559</c:v>
                </c:pt>
                <c:pt idx="54">
                  <c:v>105.8789463213341</c:v>
                </c:pt>
                <c:pt idx="55">
                  <c:v>107.9348788433579</c:v>
                </c:pt>
                <c:pt idx="56">
                  <c:v>109.9761683811928</c:v>
                </c:pt>
                <c:pt idx="57">
                  <c:v>112.0015255956487</c:v>
                </c:pt>
                <c:pt idx="58">
                  <c:v>114.0096712108648</c:v>
                </c:pt>
                <c:pt idx="59">
                  <c:v>115.9993368223383</c:v>
                </c:pt>
                <c:pt idx="60">
                  <c:v>117.9692656980865</c:v>
                </c:pt>
                <c:pt idx="61">
                  <c:v>119.9182135724362</c:v>
                </c:pt>
                <c:pt idx="62">
                  <c:v>121.8449494319385</c:v>
                </c:pt>
                <c:pt idx="63">
                  <c:v>123.7482562929138</c:v>
                </c:pt>
                <c:pt idx="64">
                  <c:v>125.6269319701351</c:v>
                </c:pt>
                <c:pt idx="65">
                  <c:v>127.4797898361636</c:v>
                </c:pt>
                <c:pt idx="66">
                  <c:v>129.3056595708579</c:v>
                </c:pt>
                <c:pt idx="67">
                  <c:v>131.1033879005831</c:v>
                </c:pt>
                <c:pt idx="68">
                  <c:v>132.8718393266529</c:v>
                </c:pt>
                <c:pt idx="69">
                  <c:v>134.6098968425441</c:v>
                </c:pt>
                <c:pt idx="70">
                  <c:v>136.3164626394313</c:v>
                </c:pt>
                <c:pt idx="71">
                  <c:v>137.9904587995954</c:v>
                </c:pt>
                <c:pt idx="72">
                  <c:v>139.6308279772687</c:v>
                </c:pt>
                <c:pt idx="73">
                  <c:v>141.236534066486</c:v>
                </c:pt>
                <c:pt idx="74">
                  <c:v>142.8065628555196</c:v>
                </c:pt>
                <c:pt idx="75">
                  <c:v>144.3399226674861</c:v>
                </c:pt>
                <c:pt idx="76">
                  <c:v>145.8356449867183</c:v>
                </c:pt>
                <c:pt idx="77">
                  <c:v>147.2927850705095</c:v>
                </c:pt>
                <c:pt idx="78">
                  <c:v>148.71042254584</c:v>
                </c:pt>
                <c:pt idx="79">
                  <c:v>150.0876619907129</c:v>
                </c:pt>
                <c:pt idx="80">
                  <c:v>151.4236334997289</c:v>
                </c:pt>
                <c:pt idx="81">
                  <c:v>152.7174932335446</c:v>
                </c:pt>
                <c:pt idx="82">
                  <c:v>153.9684239518662</c:v>
                </c:pt>
                <c:pt idx="83">
                  <c:v>155.1756355296433</c:v>
                </c:pt>
                <c:pt idx="84">
                  <c:v>156.3383654561349</c:v>
                </c:pt>
                <c:pt idx="85">
                  <c:v>157.455879316534</c:v>
                </c:pt>
                <c:pt idx="86">
                  <c:v>158.527471255846</c:v>
                </c:pt>
                <c:pt idx="87">
                  <c:v>159.5524644247276</c:v>
                </c:pt>
                <c:pt idx="88">
                  <c:v>160.5302114070051</c:v>
                </c:pt>
                <c:pt idx="89">
                  <c:v>161.4600946286013</c:v>
                </c:pt>
                <c:pt idx="90">
                  <c:v>162.3415267476142</c:v>
                </c:pt>
                <c:pt idx="91">
                  <c:v>163.1739510252993</c:v>
                </c:pt>
                <c:pt idx="92">
                  <c:v>163.9568416777223</c:v>
                </c:pt>
                <c:pt idx="93">
                  <c:v>164.6897042078601</c:v>
                </c:pt>
                <c:pt idx="94">
                  <c:v>165.3720757179399</c:v>
                </c:pt>
                <c:pt idx="95">
                  <c:v>166.0035252018186</c:v>
                </c:pt>
                <c:pt idx="96">
                  <c:v>166.5836538172199</c:v>
                </c:pt>
                <c:pt idx="97">
                  <c:v>167.1120951376544</c:v>
                </c:pt>
                <c:pt idx="98">
                  <c:v>167.5885153838656</c:v>
                </c:pt>
                <c:pt idx="99">
                  <c:v>168.012613634655</c:v>
                </c:pt>
                <c:pt idx="100">
                  <c:v>168.3841220169525</c:v>
                </c:pt>
                <c:pt idx="101">
                  <c:v>168.7028058750133</c:v>
                </c:pt>
                <c:pt idx="102">
                  <c:v>168.9684639186336</c:v>
                </c:pt>
                <c:pt idx="103">
                  <c:v>169.1809283502911</c:v>
                </c:pt>
                <c:pt idx="104">
                  <c:v>169.3400649711308</c:v>
                </c:pt>
                <c:pt idx="105">
                  <c:v>169.4457732657297</c:v>
                </c:pt>
                <c:pt idx="106">
                  <c:v>169.4979864655843</c:v>
                </c:pt>
                <c:pt idx="107">
                  <c:v>169.4966715912849</c:v>
                </c:pt>
                <c:pt idx="108">
                  <c:v>169.441829473345</c:v>
                </c:pt>
                <c:pt idx="109">
                  <c:v>169.3334947516776</c:v>
                </c:pt>
                <c:pt idx="110">
                  <c:v>169.1717358537153</c:v>
                </c:pt>
                <c:pt idx="111">
                  <c:v>168.9566549511895</c:v>
                </c:pt>
                <c:pt idx="112">
                  <c:v>168.688387895596</c:v>
                </c:pt>
                <c:pt idx="113">
                  <c:v>168.3671041323865</c:v>
                </c:pt>
                <c:pt idx="114">
                  <c:v>167.9930065939424</c:v>
                </c:pt>
                <c:pt idx="115">
                  <c:v>167.5663315713967</c:v>
                </c:pt>
                <c:pt idx="116">
                  <c:v>167.087348565385</c:v>
                </c:pt>
                <c:pt idx="117">
                  <c:v>166.5563601158211</c:v>
                </c:pt>
                <c:pt idx="118">
                  <c:v>165.973701610804</c:v>
                </c:pt>
                <c:pt idx="119">
                  <c:v>165.3397410747767</c:v>
                </c:pt>
                <c:pt idx="120">
                  <c:v>164.6548789360708</c:v>
                </c:pt>
                <c:pt idx="121">
                  <c:v>163.9195477739843</c:v>
                </c:pt>
                <c:pt idx="122">
                  <c:v>163.1342120455515</c:v>
                </c:pt>
                <c:pt idx="123">
                  <c:v>162.2993677921784</c:v>
                </c:pt>
                <c:pt idx="124">
                  <c:v>161.4155423263278</c:v>
                </c:pt>
                <c:pt idx="125">
                  <c:v>160.4832938984531</c:v>
                </c:pt>
                <c:pt idx="126">
                  <c:v>159.5032113443911</c:v>
                </c:pt>
                <c:pt idx="127">
                  <c:v>158.4759137134355</c:v>
                </c:pt>
                <c:pt idx="128">
                  <c:v>157.4020498773269</c:v>
                </c:pt>
                <c:pt idx="129">
                  <c:v>156.2822981204062</c:v>
                </c:pt>
                <c:pt idx="130">
                  <c:v>155.11736571119</c:v>
                </c:pt>
                <c:pt idx="131">
                  <c:v>153.9079884556388</c:v>
                </c:pt>
                <c:pt idx="132">
                  <c:v>152.6549302324001</c:v>
                </c:pt>
                <c:pt idx="133">
                  <c:v>151.3589825103199</c:v>
                </c:pt>
                <c:pt idx="134">
                  <c:v>150.0209638485272</c:v>
                </c:pt>
                <c:pt idx="135">
                  <c:v>148.6417193794082</c:v>
                </c:pt>
                <c:pt idx="136">
                  <c:v>147.2221202747951</c:v>
                </c:pt>
                <c:pt idx="137">
                  <c:v>145.7630631957083</c:v>
                </c:pt>
                <c:pt idx="138">
                  <c:v>144.2654697259985</c:v>
                </c:pt>
                <c:pt idx="139">
                  <c:v>142.7302857902469</c:v>
                </c:pt>
                <c:pt idx="140">
                  <c:v>141.1584810562914</c:v>
                </c:pt>
                <c:pt idx="141">
                  <c:v>139.5510483227552</c:v>
                </c:pt>
                <c:pt idx="142">
                  <c:v>137.9090028919658</c:v>
                </c:pt>
                <c:pt idx="143">
                  <c:v>136.2333819286598</c:v>
                </c:pt>
                <c:pt idx="144">
                  <c:v>134.5252438048789</c:v>
                </c:pt>
                <c:pt idx="145">
                  <c:v>132.7856674314705</c:v>
                </c:pt>
                <c:pt idx="146">
                  <c:v>131.0157515766157</c:v>
                </c:pt>
                <c:pt idx="147">
                  <c:v>129.2166141718144</c:v>
                </c:pt>
                <c:pt idx="148">
                  <c:v>127.3893916057668</c:v>
                </c:pt>
                <c:pt idx="149">
                  <c:v>125.5352380065961</c:v>
                </c:pt>
                <c:pt idx="150">
                  <c:v>123.6553245128675</c:v>
                </c:pt>
                <c:pt idx="151">
                  <c:v>121.7508385338613</c:v>
                </c:pt>
                <c:pt idx="152">
                  <c:v>119.8229829995707</c:v>
                </c:pt>
                <c:pt idx="153">
                  <c:v>117.8729756008953</c:v>
                </c:pt>
                <c:pt idx="154">
                  <c:v>115.9020480205107</c:v>
                </c:pt>
                <c:pt idx="155">
                  <c:v>113.911445154902</c:v>
                </c:pt>
                <c:pt idx="156">
                  <c:v>111.9024243280493</c:v>
                </c:pt>
                <c:pt idx="157">
                  <c:v>109.8762544972653</c:v>
                </c:pt>
                <c:pt idx="158">
                  <c:v>107.8342154516832</c:v>
                </c:pt>
                <c:pt idx="159">
                  <c:v>105.7775970039047</c:v>
                </c:pt>
                <c:pt idx="160">
                  <c:v>103.7076981753152</c:v>
                </c:pt>
                <c:pt idx="161">
                  <c:v>101.6258263755841</c:v>
                </c:pt>
                <c:pt idx="162">
                  <c:v>99.5332965768651</c:v>
                </c:pt>
                <c:pt idx="163">
                  <c:v>97.4314304832213</c:v>
                </c:pt>
                <c:pt idx="164">
                  <c:v>95.3215556957973</c:v>
                </c:pt>
                <c:pt idx="165">
                  <c:v>93.20500487426704</c:v>
                </c:pt>
                <c:pt idx="166">
                  <c:v>91.083114895086</c:v>
                </c:pt>
                <c:pt idx="167">
                  <c:v>88.95722600708052</c:v>
                </c:pt>
                <c:pt idx="168">
                  <c:v>86.82868098490673</c:v>
                </c:pt>
                <c:pt idx="169">
                  <c:v>84.69882428091406</c:v>
                </c:pt>
                <c:pt idx="170">
                  <c:v>82.56900117594924</c:v>
                </c:pt>
                <c:pt idx="171">
                  <c:v>80.44055692963686</c:v>
                </c:pt>
                <c:pt idx="172">
                  <c:v>78.3148359306733</c:v>
                </c:pt>
                <c:pt idx="173">
                  <c:v>76.19318084767094</c:v>
                </c:pt>
                <c:pt idx="174">
                  <c:v>74.07693178108876</c:v>
                </c:pt>
                <c:pt idx="175">
                  <c:v>71.96742541678491</c:v>
                </c:pt>
                <c:pt idx="176">
                  <c:v>69.86599418172618</c:v>
                </c:pt>
                <c:pt idx="177">
                  <c:v>67.77396540238765</c:v>
                </c:pt>
                <c:pt idx="178">
                  <c:v>65.69266046637358</c:v>
                </c:pt>
                <c:pt idx="179">
                  <c:v>63.62339398778988</c:v>
                </c:pt>
                <c:pt idx="180">
                  <c:v>61.56747297689462</c:v>
                </c:pt>
                <c:pt idx="181">
                  <c:v>59.52619601455154</c:v>
                </c:pt>
                <c:pt idx="182">
                  <c:v>57.50085243200772</c:v>
                </c:pt>
                <c:pt idx="183">
                  <c:v>55.49272149651362</c:v>
                </c:pt>
                <c:pt idx="184">
                  <c:v>53.50307160329984</c:v>
                </c:pt>
                <c:pt idx="185">
                  <c:v>51.53315947442096</c:v>
                </c:pt>
                <c:pt idx="186">
                  <c:v>49.58422936497249</c:v>
                </c:pt>
                <c:pt idx="187">
                  <c:v>47.65751227718238</c:v>
                </c:pt>
                <c:pt idx="188">
                  <c:v>45.75422518287336</c:v>
                </c:pt>
                <c:pt idx="189">
                  <c:v>43.87557025478738</c:v>
                </c:pt>
                <c:pt idx="190">
                  <c:v>42.0227341072575</c:v>
                </c:pt>
                <c:pt idx="191">
                  <c:v>40.19688704670696</c:v>
                </c:pt>
                <c:pt idx="192">
                  <c:v>38.39918233244897</c:v>
                </c:pt>
                <c:pt idx="193">
                  <c:v>36.63075544825367</c:v>
                </c:pt>
                <c:pt idx="194">
                  <c:v>34.89272338514284</c:v>
                </c:pt>
                <c:pt idx="195">
                  <c:v>33.18618393586525</c:v>
                </c:pt>
                <c:pt idx="196">
                  <c:v>31.51221500149796</c:v>
                </c:pt>
                <c:pt idx="197">
                  <c:v>29.87187391061202</c:v>
                </c:pt>
                <c:pt idx="198">
                  <c:v>28.26619675143229</c:v>
                </c:pt>
                <c:pt idx="199">
                  <c:v>26.69619771741328</c:v>
                </c:pt>
                <c:pt idx="200">
                  <c:v>25.16286846664442</c:v>
                </c:pt>
                <c:pt idx="201">
                  <c:v>23.66717749548928</c:v>
                </c:pt>
                <c:pt idx="202">
                  <c:v>22.21006952685448</c:v>
                </c:pt>
                <c:pt idx="203">
                  <c:v>20.7924649134746</c:v>
                </c:pt>
                <c:pt idx="204">
                  <c:v>19.41525905659001</c:v>
                </c:pt>
                <c:pt idx="205">
                  <c:v>18.07932184038485</c:v>
                </c:pt>
                <c:pt idx="206">
                  <c:v>16.78549708254223</c:v>
                </c:pt>
                <c:pt idx="207">
                  <c:v>15.53460200126396</c:v>
                </c:pt>
                <c:pt idx="208">
                  <c:v>14.32742669909118</c:v>
                </c:pt>
                <c:pt idx="209">
                  <c:v>13.16473366385209</c:v>
                </c:pt>
                <c:pt idx="210">
                  <c:v>12.04725728705199</c:v>
                </c:pt>
                <c:pt idx="211">
                  <c:v>10.97570340000973</c:v>
                </c:pt>
                <c:pt idx="212">
                  <c:v>9.950748828033685</c:v>
                </c:pt>
                <c:pt idx="213">
                  <c:v>8.973040962918727</c:v>
                </c:pt>
                <c:pt idx="214">
                  <c:v>8.043197354034326</c:v>
                </c:pt>
                <c:pt idx="215">
                  <c:v>7.161805318261996</c:v>
                </c:pt>
                <c:pt idx="216">
                  <c:v>6.329421569028489</c:v>
                </c:pt>
                <c:pt idx="217">
                  <c:v>5.546571864669028</c:v>
                </c:pt>
                <c:pt idx="218">
                  <c:v>4.813750676342702</c:v>
                </c:pt>
                <c:pt idx="219">
                  <c:v>4.131420875709786</c:v>
                </c:pt>
                <c:pt idx="220">
                  <c:v>3.500013442568219</c:v>
                </c:pt>
                <c:pt idx="221">
                  <c:v>2.919927192633948</c:v>
                </c:pt>
                <c:pt idx="222">
                  <c:v>2.391528525637068</c:v>
                </c:pt>
                <c:pt idx="223">
                  <c:v>1.91515119389284</c:v>
                </c:pt>
                <c:pt idx="224">
                  <c:v>1.49109609149381</c:v>
                </c:pt>
                <c:pt idx="225">
                  <c:v>1.119631064256149</c:v>
                </c:pt>
                <c:pt idx="226">
                  <c:v>0.800990740540265</c:v>
                </c:pt>
                <c:pt idx="227">
                  <c:v>0.535376383052555</c:v>
                </c:pt>
                <c:pt idx="228">
                  <c:v>0.322955761721892</c:v>
                </c:pt>
                <c:pt idx="229">
                  <c:v>0.163863047731149</c:v>
                </c:pt>
                <c:pt idx="230">
                  <c:v>0.0581987287706845</c:v>
                </c:pt>
                <c:pt idx="231">
                  <c:v>0.00602954556733379</c:v>
                </c:pt>
                <c:pt idx="232">
                  <c:v>0.00738844972897726</c:v>
                </c:pt>
                <c:pt idx="233">
                  <c:v>0.0622745829313259</c:v>
                </c:pt>
                <c:pt idx="234">
                  <c:v>0.170653277460064</c:v>
                </c:pt>
                <c:pt idx="235">
                  <c:v>0.33245607810801</c:v>
                </c:pt>
                <c:pt idx="236">
                  <c:v>0.547580785413459</c:v>
                </c:pt>
                <c:pt idx="237">
                  <c:v>0.815891520212405</c:v>
                </c:pt>
                <c:pt idx="238">
                  <c:v>1.137218809463861</c:v>
                </c:pt>
                <c:pt idx="239">
                  <c:v>1.511359693294075</c:v>
                </c:pt>
                <c:pt idx="240">
                  <c:v>1.938077853192021</c:v>
                </c:pt>
                <c:pt idx="241">
                  <c:v>2.4171037612752</c:v>
                </c:pt>
                <c:pt idx="242">
                  <c:v>2.948134850531467</c:v>
                </c:pt>
                <c:pt idx="243">
                  <c:v>3.530835705929361</c:v>
                </c:pt>
                <c:pt idx="244">
                  <c:v>4.164838276276209</c:v>
                </c:pt>
                <c:pt idx="245">
                  <c:v>4.849742106690208</c:v>
                </c:pt>
                <c:pt idx="246">
                  <c:v>5.585114591539646</c:v>
                </c:pt>
                <c:pt idx="247">
                  <c:v>6.370491247689478</c:v>
                </c:pt>
                <c:pt idx="248">
                  <c:v>7.205376007882698</c:v>
                </c:pt>
                <c:pt idx="249">
                  <c:v>8.089241534071167</c:v>
                </c:pt>
                <c:pt idx="250">
                  <c:v>9.021529550498017</c:v>
                </c:pt>
                <c:pt idx="251">
                  <c:v>10.00165119632122</c:v>
                </c:pt>
                <c:pt idx="252">
                  <c:v>11.02898739755561</c:v>
                </c:pt>
                <c:pt idx="253">
                  <c:v>12.10288925809843</c:v>
                </c:pt>
                <c:pt idx="254">
                  <c:v>13.22267846959141</c:v>
                </c:pt>
                <c:pt idx="255">
                  <c:v>14.38764773986051</c:v>
                </c:pt>
                <c:pt idx="256">
                  <c:v>15.59706123966269</c:v>
                </c:pt>
                <c:pt idx="257">
                  <c:v>16.85015506745753</c:v>
                </c:pt>
                <c:pt idx="258">
                  <c:v>18.1461377319102</c:v>
                </c:pt>
                <c:pt idx="259">
                  <c:v>19.4841906518209</c:v>
                </c:pt>
                <c:pt idx="260">
                  <c:v>20.86346867316509</c:v>
                </c:pt>
                <c:pt idx="261">
                  <c:v>22.28310060291797</c:v>
                </c:pt>
                <c:pt idx="262">
                  <c:v>23.74218975932582</c:v>
                </c:pt>
                <c:pt idx="263">
                  <c:v>25.23981453827694</c:v>
                </c:pt>
                <c:pt idx="264">
                  <c:v>26.77502899541417</c:v>
                </c:pt>
                <c:pt idx="265">
                  <c:v>28.34686344362153</c:v>
                </c:pt>
                <c:pt idx="266">
                  <c:v>29.9543250655074</c:v>
                </c:pt>
                <c:pt idx="267">
                  <c:v>31.59639854049754</c:v>
                </c:pt>
                <c:pt idx="268">
                  <c:v>33.27204668614176</c:v>
                </c:pt>
                <c:pt idx="269">
                  <c:v>34.98021111322924</c:v>
                </c:pt>
                <c:pt idx="270">
                  <c:v>36.71981289429856</c:v>
                </c:pt>
                <c:pt idx="271">
                  <c:v>38.48975324512044</c:v>
                </c:pt>
                <c:pt idx="272">
                  <c:v>40.28891421872254</c:v>
                </c:pt>
                <c:pt idx="273">
                  <c:v>42.11615941151797</c:v>
                </c:pt>
                <c:pt idx="274">
                  <c:v>43.97033468109168</c:v>
                </c:pt>
                <c:pt idx="275">
                  <c:v>45.85026887519107</c:v>
                </c:pt>
                <c:pt idx="276">
                  <c:v>47.7547745714606</c:v>
                </c:pt>
                <c:pt idx="277">
                  <c:v>49.68264882745311</c:v>
                </c:pt>
                <c:pt idx="278">
                  <c:v>51.63267394044397</c:v>
                </c:pt>
                <c:pt idx="279">
                  <c:v>53.60361821656848</c:v>
                </c:pt>
                <c:pt idx="280">
                  <c:v>55.59423674879618</c:v>
                </c:pt>
                <c:pt idx="281">
                  <c:v>57.6032722032513</c:v>
                </c:pt>
                <c:pt idx="282">
                  <c:v>59.62945561338213</c:v>
                </c:pt>
                <c:pt idx="283">
                  <c:v>61.67150718147817</c:v>
                </c:pt>
                <c:pt idx="284">
                  <c:v>63.72813708702827</c:v>
                </c:pt>
                <c:pt idx="285">
                  <c:v>65.79804630140977</c:v>
                </c:pt>
                <c:pt idx="286">
                  <c:v>67.87992740839353</c:v>
                </c:pt>
                <c:pt idx="287">
                  <c:v>69.97246542994693</c:v>
                </c:pt>
                <c:pt idx="288">
                  <c:v>72.07433865681315</c:v>
                </c:pt>
                <c:pt idx="289">
                  <c:v>74.184219483342</c:v>
                </c:pt>
                <c:pt idx="290">
                  <c:v>76.30077524604513</c:v>
                </c:pt>
                <c:pt idx="291">
                  <c:v>78.422669065346</c:v>
                </c:pt>
                <c:pt idx="292">
                  <c:v>80.5485606899928</c:v>
                </c:pt>
                <c:pt idx="293">
                  <c:v>82.67710734360081</c:v>
                </c:pt>
                <c:pt idx="294">
                  <c:v>84.80696457279011</c:v>
                </c:pt>
                <c:pt idx="295">
                  <c:v>86.93678709638228</c:v>
                </c:pt>
                <c:pt idx="296">
                  <c:v>89.06522965511997</c:v>
                </c:pt>
                <c:pt idx="297">
                  <c:v>91.1909478613727</c:v>
                </c:pt>
                <c:pt idx="298">
                  <c:v>93.31259904829202</c:v>
                </c:pt>
                <c:pt idx="299">
                  <c:v>95.42884311787986</c:v>
                </c:pt>
                <c:pt idx="300">
                  <c:v>97.53834338743434</c:v>
                </c:pt>
                <c:pt idx="301">
                  <c:v>99.63976743383824</c:v>
                </c:pt>
                <c:pt idx="302">
                  <c:v>101.7317879351571</c:v>
                </c:pt>
                <c:pt idx="303">
                  <c:v>103.8130835090152</c:v>
                </c:pt>
                <c:pt idx="304">
                  <c:v>105.8823395472203</c:v>
                </c:pt>
                <c:pt idx="305">
                  <c:v>107.9382490461084</c:v>
                </c:pt>
                <c:pt idx="306">
                  <c:v>109.9795134320874</c:v>
                </c:pt>
                <c:pt idx="307">
                  <c:v>112.0048433818537</c:v>
                </c:pt>
                <c:pt idx="308">
                  <c:v>114.0129596367678</c:v>
                </c:pt>
                <c:pt idx="309">
                  <c:v>116.0025938108717</c:v>
                </c:pt>
                <c:pt idx="310">
                  <c:v>117.9724891920395</c:v>
                </c:pt>
                <c:pt idx="311">
                  <c:v>119.921401535754</c:v>
                </c:pt>
                <c:pt idx="312">
                  <c:v>121.8480998510087</c:v>
                </c:pt>
                <c:pt idx="313">
                  <c:v>123.751367177838</c:v>
                </c:pt>
                <c:pt idx="314">
                  <c:v>125.6300013559859</c:v>
                </c:pt>
                <c:pt idx="315">
                  <c:v>127.4828157842256</c:v>
                </c:pt>
                <c:pt idx="316">
                  <c:v>129.3086401698522</c:v>
                </c:pt>
                <c:pt idx="317">
                  <c:v>131.1063212678747</c:v>
                </c:pt>
                <c:pt idx="318">
                  <c:v>132.8747236094399</c:v>
                </c:pt>
                <c:pt idx="319">
                  <c:v>134.6127302190276</c:v>
                </c:pt>
                <c:pt idx="320">
                  <c:v>136.3192433199665</c:v>
                </c:pt>
                <c:pt idx="321">
                  <c:v>137.9931850278217</c:v>
                </c:pt>
                <c:pt idx="322">
                  <c:v>139.6334980312193</c:v>
                </c:pt>
                <c:pt idx="323">
                  <c:v>141.2391462596754</c:v>
                </c:pt>
                <c:pt idx="324">
                  <c:v>142.8091155380089</c:v>
                </c:pt>
                <c:pt idx="325">
                  <c:v>144.3424142269251</c:v>
                </c:pt>
                <c:pt idx="326">
                  <c:v>145.838073849364</c:v>
                </c:pt>
                <c:pt idx="327">
                  <c:v>147.2951497022198</c:v>
                </c:pt>
                <c:pt idx="328">
                  <c:v>148.7127214530433</c:v>
                </c:pt>
                <c:pt idx="329">
                  <c:v>150.0898937213511</c:v>
                </c:pt>
                <c:pt idx="330">
                  <c:v>151.4257966441745</c:v>
                </c:pt>
                <c:pt idx="331">
                  <c:v>152.7195864254912</c:v>
                </c:pt>
                <c:pt idx="332">
                  <c:v>153.9704458691916</c:v>
                </c:pt>
                <c:pt idx="333">
                  <c:v>155.1775848952443</c:v>
                </c:pt>
                <c:pt idx="334">
                  <c:v>156.3402410387341</c:v>
                </c:pt>
                <c:pt idx="335">
                  <c:v>157.4576799314578</c:v>
                </c:pt>
                <c:pt idx="336">
                  <c:v>158.5291957657724</c:v>
                </c:pt>
                <c:pt idx="337">
                  <c:v>159.5541117404049</c:v>
                </c:pt>
                <c:pt idx="338">
                  <c:v>160.5317804879396</c:v>
                </c:pt>
                <c:pt idx="339">
                  <c:v>161.4615844837149</c:v>
                </c:pt>
                <c:pt idx="340">
                  <c:v>162.34293643587</c:v>
                </c:pt>
                <c:pt idx="341">
                  <c:v>163.1752796562963</c:v>
                </c:pt>
                <c:pt idx="342">
                  <c:v>163.9580884122577</c:v>
                </c:pt>
                <c:pt idx="343">
                  <c:v>164.6908682584593</c:v>
                </c:pt>
                <c:pt idx="344">
                  <c:v>165.373156349354</c:v>
                </c:pt>
                <c:pt idx="345">
                  <c:v>166.0045217314885</c:v>
                </c:pt>
                <c:pt idx="346">
                  <c:v>166.5845656157078</c:v>
                </c:pt>
                <c:pt idx="347">
                  <c:v>167.1129216290413</c:v>
                </c:pt>
                <c:pt idx="348">
                  <c:v>167.589256046115</c:v>
                </c:pt>
                <c:pt idx="349">
                  <c:v>168.0132679999425</c:v>
                </c:pt>
                <c:pt idx="350">
                  <c:v>168.3846896719615</c:v>
                </c:pt>
                <c:pt idx="351">
                  <c:v>168.7032864611962</c:v>
                </c:pt>
                <c:pt idx="352">
                  <c:v>168.9688571324378</c:v>
                </c:pt>
                <c:pt idx="353">
                  <c:v>169.1812339433509</c:v>
                </c:pt>
                <c:pt idx="354">
                  <c:v>169.3402827504247</c:v>
                </c:pt>
                <c:pt idx="355">
                  <c:v>169.4459030937017</c:v>
                </c:pt>
                <c:pt idx="356">
                  <c:v>169.4980282602313</c:v>
                </c:pt>
                <c:pt idx="357">
                  <c:v>169.4966253262081</c:v>
                </c:pt>
                <c:pt idx="358">
                  <c:v>169.4416951777667</c:v>
                </c:pt>
                <c:pt idx="359">
                  <c:v>169.333272510423</c:v>
                </c:pt>
                <c:pt idx="360">
                  <c:v>169.1714258071586</c:v>
                </c:pt>
                <c:pt idx="361">
                  <c:v>168.9562572951654</c:v>
                </c:pt>
                <c:pt idx="362">
                  <c:v>168.6879028812757</c:v>
                </c:pt>
                <c:pt idx="363">
                  <c:v>168.3665320661196</c:v>
                </c:pt>
                <c:pt idx="364">
                  <c:v>167.992347837063</c:v>
                </c:pt>
                <c:pt idx="365">
                  <c:v>167.5655865399952</c:v>
                </c:pt>
                <c:pt idx="366">
                  <c:v>167.0865177300453</c:v>
                </c:pt>
                <c:pt idx="367">
                  <c:v>166.5554440013236</c:v>
                </c:pt>
                <c:pt idx="368">
                  <c:v>165.9727007957939</c:v>
                </c:pt>
                <c:pt idx="369">
                  <c:v>165.3386561913985</c:v>
                </c:pt>
                <c:pt idx="370">
                  <c:v>164.6537106695691</c:v>
                </c:pt>
                <c:pt idx="371">
                  <c:v>163.9182968622709</c:v>
                </c:pt>
                <c:pt idx="372">
                  <c:v>163.1328792787396</c:v>
                </c:pt>
                <c:pt idx="373">
                  <c:v>162.297954012083</c:v>
                </c:pt>
                <c:pt idx="374">
                  <c:v>161.4140484259344</c:v>
                </c:pt>
                <c:pt idx="375">
                  <c:v>160.4817208213538</c:v>
                </c:pt>
                <c:pt idx="376">
                  <c:v>159.5015600841882</c:v>
                </c:pt>
                <c:pt idx="377">
                  <c:v>158.4741853131139</c:v>
                </c:pt>
                <c:pt idx="378">
                  <c:v>157.4002454285958</c:v>
                </c:pt>
                <c:pt idx="379">
                  <c:v>156.280418763009</c:v>
                </c:pt>
                <c:pt idx="380">
                  <c:v>155.1154126321848</c:v>
                </c:pt>
                <c:pt idx="381">
                  <c:v>153.9059628886484</c:v>
                </c:pt>
                <c:pt idx="382">
                  <c:v>152.6528334568328</c:v>
                </c:pt>
                <c:pt idx="383">
                  <c:v>151.3568158505615</c:v>
                </c:pt>
                <c:pt idx="384">
                  <c:v>150.0187286731046</c:v>
                </c:pt>
                <c:pt idx="385">
                  <c:v>148.6394171001245</c:v>
                </c:pt>
                <c:pt idx="386">
                  <c:v>147.2197523458385</c:v>
                </c:pt>
                <c:pt idx="387">
                  <c:v>145.7606311127331</c:v>
                </c:pt>
                <c:pt idx="388">
                  <c:v>144.2629750251807</c:v>
                </c:pt>
                <c:pt idx="389">
                  <c:v>142.7277300473137</c:v>
                </c:pt>
                <c:pt idx="390">
                  <c:v>141.1558658855261</c:v>
                </c:pt>
                <c:pt idx="391">
                  <c:v>139.5483753759774</c:v>
                </c:pt>
                <c:pt idx="392">
                  <c:v>137.9062738574882</c:v>
                </c:pt>
                <c:pt idx="393">
                  <c:v>136.2305985302218</c:v>
                </c:pt>
                <c:pt idx="394">
                  <c:v>134.5224078005576</c:v>
                </c:pt>
                <c:pt idx="395">
                  <c:v>132.7827806125707</c:v>
                </c:pt>
                <c:pt idx="396">
                  <c:v>131.0128157665381</c:v>
                </c:pt>
                <c:pt idx="397">
                  <c:v>129.2136312249039</c:v>
                </c:pt>
                <c:pt idx="398">
                  <c:v>127.3863634061415</c:v>
                </c:pt>
                <c:pt idx="399">
                  <c:v>125.5321664669569</c:v>
                </c:pt>
                <c:pt idx="400">
                  <c:v>123.6522115732902</c:v>
                </c:pt>
                <c:pt idx="401">
                  <c:v>121.7476861605711</c:v>
                </c:pt>
                <c:pt idx="402">
                  <c:v>119.8197931837004</c:v>
                </c:pt>
                <c:pt idx="403">
                  <c:v>117.8697503572274</c:v>
                </c:pt>
                <c:pt idx="404">
                  <c:v>115.8987893862051</c:v>
                </c:pt>
                <c:pt idx="405">
                  <c:v>113.9081551882091</c:v>
                </c:pt>
                <c:pt idx="406">
                  <c:v>111.8991051070099</c:v>
                </c:pt>
                <c:pt idx="407">
                  <c:v>109.8729081183981</c:v>
                </c:pt>
                <c:pt idx="408">
                  <c:v>107.8308440286606</c:v>
                </c:pt>
                <c:pt idx="409">
                  <c:v>105.7742026662178</c:v>
                </c:pt>
                <c:pt idx="410">
                  <c:v>103.7042830669287</c:v>
                </c:pt>
                <c:pt idx="411">
                  <c:v>101.6223926535819</c:v>
                </c:pt>
                <c:pt idx="412">
                  <c:v>99.52984641008828</c:v>
                </c:pt>
                <c:pt idx="413">
                  <c:v>97.42796605089777</c:v>
                </c:pt>
                <c:pt idx="414">
                  <c:v>95.31807918616562</c:v>
                </c:pt>
                <c:pt idx="415">
                  <c:v>93.20151848319403</c:v>
                </c:pt>
                <c:pt idx="416">
                  <c:v>91.07962082467999</c:v>
                </c:pt>
                <c:pt idx="417">
                  <c:v>88.9537264643003</c:v>
                </c:pt>
                <c:pt idx="418">
                  <c:v>86.82517818016761</c:v>
                </c:pt>
                <c:pt idx="419">
                  <c:v>84.69532042669174</c:v>
                </c:pt>
                <c:pt idx="420">
                  <c:v>82.56549848538226</c:v>
                </c:pt>
                <c:pt idx="421">
                  <c:v>80.43705761512873</c:v>
                </c:pt>
                <c:pt idx="422">
                  <c:v>78.31134220249517</c:v>
                </c:pt>
                <c:pt idx="423">
                  <c:v>76.18969491256549</c:v>
                </c:pt>
                <c:pt idx="424">
                  <c:v>74.07345584087624</c:v>
                </c:pt>
                <c:pt idx="425">
                  <c:v>71.96396166697256</c:v>
                </c:pt>
                <c:pt idx="426">
                  <c:v>69.86254481012145</c:v>
                </c:pt>
                <c:pt idx="427">
                  <c:v>67.77053258771619</c:v>
                </c:pt>
                <c:pt idx="428">
                  <c:v>65.68924637690328</c:v>
                </c:pt>
                <c:pt idx="429">
                  <c:v>63.62000077996119</c:v>
                </c:pt>
                <c:pt idx="430">
                  <c:v>61.56410279395853</c:v>
                </c:pt>
                <c:pt idx="431">
                  <c:v>59.52285098521585</c:v>
                </c:pt>
                <c:pt idx="432">
                  <c:v>57.49753466909245</c:v>
                </c:pt>
                <c:pt idx="433">
                  <c:v>55.4894330956165</c:v>
                </c:pt>
                <c:pt idx="434">
                  <c:v>53.49981464147271</c:v>
                </c:pt>
                <c:pt idx="435">
                  <c:v>51.52993600885778</c:v>
                </c:pt>
                <c:pt idx="436">
                  <c:v>49.58104143171</c:v>
                </c:pt>
                <c:pt idx="437">
                  <c:v>47.65436188981404</c:v>
                </c:pt>
                <c:pt idx="438">
                  <c:v>45.75111433127756</c:v>
                </c:pt>
                <c:pt idx="439">
                  <c:v>43.87250090387052</c:v>
                </c:pt>
                <c:pt idx="440">
                  <c:v>42.01970819571288</c:v>
                </c:pt>
                <c:pt idx="441">
                  <c:v>40.19390648579037</c:v>
                </c:pt>
                <c:pt idx="442">
                  <c:v>38.39624900477131</c:v>
                </c:pt>
                <c:pt idx="443">
                  <c:v>36.62787120659194</c:v>
                </c:pt>
                <c:pt idx="444">
                  <c:v>34.8898900512699</c:v>
                </c:pt>
                <c:pt idx="445">
                  <c:v>33.18340329939903</c:v>
                </c:pt>
                <c:pt idx="446">
                  <c:v>31.50948881877116</c:v>
                </c:pt>
                <c:pt idx="447">
                  <c:v>29.86920390356275</c:v>
                </c:pt>
                <c:pt idx="448">
                  <c:v>28.26358460651642</c:v>
                </c:pt>
                <c:pt idx="449">
                  <c:v>26.69364508453924</c:v>
                </c:pt>
                <c:pt idx="450">
                  <c:v>25.16037695813105</c:v>
                </c:pt>
                <c:pt idx="451">
                  <c:v>23.66474868504746</c:v>
                </c:pt>
                <c:pt idx="452">
                  <c:v>22.20770494859314</c:v>
                </c:pt>
                <c:pt idx="453">
                  <c:v>20.7901660609317</c:v>
                </c:pt>
                <c:pt idx="454">
                  <c:v>19.41302738178921</c:v>
                </c:pt>
                <c:pt idx="455">
                  <c:v>18.07715875291832</c:v>
                </c:pt>
                <c:pt idx="456">
                  <c:v>16.78340394868037</c:v>
                </c:pt>
                <c:pt idx="457">
                  <c:v>15.53258014309237</c:v>
                </c:pt>
                <c:pt idx="458">
                  <c:v>14.32547739367561</c:v>
                </c:pt>
                <c:pt idx="459">
                  <c:v>13.16285814243183</c:v>
                </c:pt>
                <c:pt idx="460">
                  <c:v>12.04545673426215</c:v>
                </c:pt>
                <c:pt idx="461">
                  <c:v>10.97397895313302</c:v>
                </c:pt>
                <c:pt idx="462">
                  <c:v>9.949101576282046</c:v>
                </c:pt>
                <c:pt idx="463">
                  <c:v>8.97147194674536</c:v>
                </c:pt>
                <c:pt idx="464">
                  <c:v>8.041707564476514</c:v>
                </c:pt>
                <c:pt idx="465">
                  <c:v>7.16039569631514</c:v>
                </c:pt>
                <c:pt idx="466">
                  <c:v>6.32809300505174</c:v>
                </c:pt>
                <c:pt idx="467">
                  <c:v>5.545325197822908</c:v>
                </c:pt>
                <c:pt idx="468">
                  <c:v>4.812586694059076</c:v>
                </c:pt>
                <c:pt idx="469">
                  <c:v>4.130340313194485</c:v>
                </c:pt>
                <c:pt idx="470">
                  <c:v>3.49901698233667</c:v>
                </c:pt>
                <c:pt idx="471">
                  <c:v>2.919015464080075</c:v>
                </c:pt>
                <c:pt idx="472">
                  <c:v>2.390702104635742</c:v>
                </c:pt>
                <c:pt idx="473">
                  <c:v>1.914410602436148</c:v>
                </c:pt>
                <c:pt idx="474">
                  <c:v>1.490441797361344</c:v>
                </c:pt>
                <c:pt idx="475">
                  <c:v>1.119063480719546</c:v>
                </c:pt>
                <c:pt idx="476">
                  <c:v>0.800510226102168</c:v>
                </c:pt>
                <c:pt idx="477">
                  <c:v>0.534983241220177</c:v>
                </c:pt>
                <c:pt idx="478">
                  <c:v>0.322650240815309</c:v>
                </c:pt>
                <c:pt idx="479">
                  <c:v>0.163645340726452</c:v>
                </c:pt>
                <c:pt idx="480">
                  <c:v>0.058068973178093</c:v>
                </c:pt>
                <c:pt idx="481">
                  <c:v>0.00598782334433993</c:v>
                </c:pt>
                <c:pt idx="482">
                  <c:v>0.00743478722857799</c:v>
                </c:pt>
                <c:pt idx="483">
                  <c:v>0.0624089508853781</c:v>
                </c:pt>
                <c:pt idx="484">
                  <c:v>0.170875590997771</c:v>
                </c:pt>
                <c:pt idx="485">
                  <c:v>0.332766196809529</c:v>
                </c:pt>
                <c:pt idx="486">
                  <c:v>0.547978513398593</c:v>
                </c:pt>
                <c:pt idx="487">
                  <c:v>0.816376606264327</c:v>
                </c:pt>
                <c:pt idx="488">
                  <c:v>1.137790947187794</c:v>
                </c:pt>
                <c:pt idx="489">
                  <c:v>1.512018521310813</c:v>
                </c:pt>
                <c:pt idx="490">
                  <c:v>1.938822955366192</c:v>
                </c:pt>
                <c:pt idx="491">
                  <c:v>2.417934666978106</c:v>
                </c:pt>
                <c:pt idx="492">
                  <c:v>2.949051034938354</c:v>
                </c:pt>
                <c:pt idx="493">
                  <c:v>3.531836590350903</c:v>
                </c:pt>
                <c:pt idx="494">
                  <c:v>4.165923228524034</c:v>
                </c:pt>
                <c:pt idx="495">
                  <c:v>4.850910441476206</c:v>
                </c:pt>
                <c:pt idx="496">
                  <c:v>5.586365570908813</c:v>
                </c:pt>
                <c:pt idx="497">
                  <c:v>6.371824081486034</c:v>
                </c:pt>
                <c:pt idx="498">
                  <c:v>7.206789854249171</c:v>
                </c:pt>
                <c:pt idx="499">
                  <c:v>8.090735499980137</c:v>
                </c:pt>
                <c:pt idx="500">
                  <c:v>9.023102692316179</c:v>
                </c:pt>
              </c:numCache>
            </c:numRef>
          </c:yVal>
          <c:smooth val="0"/>
        </c:ser>
        <c:ser>
          <c:idx val="2"/>
          <c:order val="2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'Iterative Steps'!$A$2:$A$502</c:f>
              <c:numCache>
                <c:formatCode>General</c:formatCode>
                <c:ptCount val="501"/>
                <c:pt idx="0">
                  <c:v>0.0</c:v>
                </c:pt>
                <c:pt idx="1">
                  <c:v>0.0251327412287183</c:v>
                </c:pt>
                <c:pt idx="2">
                  <c:v>0.0502654824574367</c:v>
                </c:pt>
                <c:pt idx="3">
                  <c:v>0.075398223686155</c:v>
                </c:pt>
                <c:pt idx="4">
                  <c:v>0.100530964914873</c:v>
                </c:pt>
                <c:pt idx="5">
                  <c:v>0.125663706143592</c:v>
                </c:pt>
                <c:pt idx="6">
                  <c:v>0.15079644737231</c:v>
                </c:pt>
                <c:pt idx="7">
                  <c:v>0.175929188601028</c:v>
                </c:pt>
                <c:pt idx="8">
                  <c:v>0.201061929829747</c:v>
                </c:pt>
                <c:pt idx="9">
                  <c:v>0.226194671058465</c:v>
                </c:pt>
                <c:pt idx="10">
                  <c:v>0.251327412287183</c:v>
                </c:pt>
                <c:pt idx="11">
                  <c:v>0.276460153515902</c:v>
                </c:pt>
                <c:pt idx="12">
                  <c:v>0.30159289474462</c:v>
                </c:pt>
                <c:pt idx="13">
                  <c:v>0.326725635973338</c:v>
                </c:pt>
                <c:pt idx="14">
                  <c:v>0.351858377202057</c:v>
                </c:pt>
                <c:pt idx="15">
                  <c:v>0.376991118430775</c:v>
                </c:pt>
                <c:pt idx="16">
                  <c:v>0.402123859659493</c:v>
                </c:pt>
                <c:pt idx="17">
                  <c:v>0.427256600888212</c:v>
                </c:pt>
                <c:pt idx="18">
                  <c:v>0.45238934211693</c:v>
                </c:pt>
                <c:pt idx="19">
                  <c:v>0.477522083345648</c:v>
                </c:pt>
                <c:pt idx="20">
                  <c:v>0.502654824574367</c:v>
                </c:pt>
                <c:pt idx="21">
                  <c:v>0.527787565803085</c:v>
                </c:pt>
                <c:pt idx="22">
                  <c:v>0.552920307031803</c:v>
                </c:pt>
                <c:pt idx="23">
                  <c:v>0.578053048260522</c:v>
                </c:pt>
                <c:pt idx="24">
                  <c:v>0.60318578948924</c:v>
                </c:pt>
                <c:pt idx="25">
                  <c:v>0.628318530717958</c:v>
                </c:pt>
                <c:pt idx="26">
                  <c:v>0.653451271946677</c:v>
                </c:pt>
                <c:pt idx="27">
                  <c:v>0.678584013175395</c:v>
                </c:pt>
                <c:pt idx="28">
                  <c:v>0.703716754404113</c:v>
                </c:pt>
                <c:pt idx="29">
                  <c:v>0.728849495632832</c:v>
                </c:pt>
                <c:pt idx="30">
                  <c:v>0.75398223686155</c:v>
                </c:pt>
                <c:pt idx="31">
                  <c:v>0.779114978090268</c:v>
                </c:pt>
                <c:pt idx="32">
                  <c:v>0.804247719318987</c:v>
                </c:pt>
                <c:pt idx="33">
                  <c:v>0.829380460547705</c:v>
                </c:pt>
                <c:pt idx="34">
                  <c:v>0.854513201776423</c:v>
                </c:pt>
                <c:pt idx="35">
                  <c:v>0.879645943005142</c:v>
                </c:pt>
                <c:pt idx="36">
                  <c:v>0.90477868423386</c:v>
                </c:pt>
                <c:pt idx="37">
                  <c:v>0.929911425462579</c:v>
                </c:pt>
                <c:pt idx="38">
                  <c:v>0.955044166691297</c:v>
                </c:pt>
                <c:pt idx="39">
                  <c:v>0.980176907920015</c:v>
                </c:pt>
                <c:pt idx="40">
                  <c:v>1.005309649148734</c:v>
                </c:pt>
                <c:pt idx="41">
                  <c:v>1.030442390377452</c:v>
                </c:pt>
                <c:pt idx="42">
                  <c:v>1.05557513160617</c:v>
                </c:pt>
                <c:pt idx="43">
                  <c:v>1.080707872834889</c:v>
                </c:pt>
                <c:pt idx="44">
                  <c:v>1.105840614063607</c:v>
                </c:pt>
                <c:pt idx="45">
                  <c:v>1.130973355292325</c:v>
                </c:pt>
                <c:pt idx="46">
                  <c:v>1.156106096521044</c:v>
                </c:pt>
                <c:pt idx="47">
                  <c:v>1.181238837749762</c:v>
                </c:pt>
                <c:pt idx="48">
                  <c:v>1.20637157897848</c:v>
                </c:pt>
                <c:pt idx="49">
                  <c:v>1.231504320207199</c:v>
                </c:pt>
                <c:pt idx="50">
                  <c:v>1.256637061435917</c:v>
                </c:pt>
                <c:pt idx="51">
                  <c:v>1.281769802664635</c:v>
                </c:pt>
                <c:pt idx="52">
                  <c:v>1.306902543893354</c:v>
                </c:pt>
                <c:pt idx="53">
                  <c:v>1.332035285122072</c:v>
                </c:pt>
                <c:pt idx="54">
                  <c:v>1.35716802635079</c:v>
                </c:pt>
                <c:pt idx="55">
                  <c:v>1.382300767579509</c:v>
                </c:pt>
                <c:pt idx="56">
                  <c:v>1.407433508808227</c:v>
                </c:pt>
                <c:pt idx="57">
                  <c:v>1.432566250036945</c:v>
                </c:pt>
                <c:pt idx="58">
                  <c:v>1.457698991265664</c:v>
                </c:pt>
                <c:pt idx="59">
                  <c:v>1.482831732494382</c:v>
                </c:pt>
                <c:pt idx="60">
                  <c:v>1.5079644737231</c:v>
                </c:pt>
                <c:pt idx="61">
                  <c:v>1.533097214951819</c:v>
                </c:pt>
                <c:pt idx="62">
                  <c:v>1.558229956180537</c:v>
                </c:pt>
                <c:pt idx="63">
                  <c:v>1.583362697409255</c:v>
                </c:pt>
                <c:pt idx="64">
                  <c:v>1.608495438637974</c:v>
                </c:pt>
                <c:pt idx="65">
                  <c:v>1.633628179866692</c:v>
                </c:pt>
                <c:pt idx="66">
                  <c:v>1.65876092109541</c:v>
                </c:pt>
                <c:pt idx="67">
                  <c:v>1.683893662324129</c:v>
                </c:pt>
                <c:pt idx="68">
                  <c:v>1.709026403552847</c:v>
                </c:pt>
                <c:pt idx="69">
                  <c:v>1.734159144781565</c:v>
                </c:pt>
                <c:pt idx="70">
                  <c:v>1.759291886010284</c:v>
                </c:pt>
                <c:pt idx="71">
                  <c:v>1.784424627239002</c:v>
                </c:pt>
                <c:pt idx="72">
                  <c:v>1.80955736846772</c:v>
                </c:pt>
                <c:pt idx="73">
                  <c:v>1.834690109696439</c:v>
                </c:pt>
                <c:pt idx="74">
                  <c:v>1.859822850925157</c:v>
                </c:pt>
                <c:pt idx="75">
                  <c:v>1.884955592153875</c:v>
                </c:pt>
                <c:pt idx="76">
                  <c:v>1.910088333382594</c:v>
                </c:pt>
                <c:pt idx="77">
                  <c:v>1.935221074611312</c:v>
                </c:pt>
                <c:pt idx="78">
                  <c:v>1.96035381584003</c:v>
                </c:pt>
                <c:pt idx="79">
                  <c:v>1.985486557068749</c:v>
                </c:pt>
                <c:pt idx="80">
                  <c:v>2.010619298297467</c:v>
                </c:pt>
                <c:pt idx="81">
                  <c:v>2.035752039526186</c:v>
                </c:pt>
                <c:pt idx="82">
                  <c:v>2.060884780754904</c:v>
                </c:pt>
                <c:pt idx="83">
                  <c:v>2.086017521983623</c:v>
                </c:pt>
                <c:pt idx="84">
                  <c:v>2.111150263212342</c:v>
                </c:pt>
                <c:pt idx="85">
                  <c:v>2.13628300444106</c:v>
                </c:pt>
                <c:pt idx="86">
                  <c:v>2.161415745669779</c:v>
                </c:pt>
                <c:pt idx="87">
                  <c:v>2.186548486898497</c:v>
                </c:pt>
                <c:pt idx="88">
                  <c:v>2.211681228127216</c:v>
                </c:pt>
                <c:pt idx="89">
                  <c:v>2.236813969355934</c:v>
                </c:pt>
                <c:pt idx="90">
                  <c:v>2.261946710584653</c:v>
                </c:pt>
                <c:pt idx="91">
                  <c:v>2.287079451813371</c:v>
                </c:pt>
                <c:pt idx="92">
                  <c:v>2.31221219304209</c:v>
                </c:pt>
                <c:pt idx="93">
                  <c:v>2.337344934270809</c:v>
                </c:pt>
                <c:pt idx="94">
                  <c:v>2.362477675499527</c:v>
                </c:pt>
                <c:pt idx="95">
                  <c:v>2.387610416728246</c:v>
                </c:pt>
                <c:pt idx="96">
                  <c:v>2.412743157956964</c:v>
                </c:pt>
                <c:pt idx="97">
                  <c:v>2.437875899185683</c:v>
                </c:pt>
                <c:pt idx="98">
                  <c:v>2.463008640414401</c:v>
                </c:pt>
                <c:pt idx="99">
                  <c:v>2.48814138164312</c:v>
                </c:pt>
                <c:pt idx="100">
                  <c:v>2.513274122871838</c:v>
                </c:pt>
                <c:pt idx="101">
                  <c:v>2.538406864100557</c:v>
                </c:pt>
                <c:pt idx="102">
                  <c:v>2.563539605329276</c:v>
                </c:pt>
                <c:pt idx="103">
                  <c:v>2.588672346557994</c:v>
                </c:pt>
                <c:pt idx="104">
                  <c:v>2.613805087786713</c:v>
                </c:pt>
                <c:pt idx="105">
                  <c:v>2.638937829015431</c:v>
                </c:pt>
                <c:pt idx="106">
                  <c:v>2.66407057024415</c:v>
                </c:pt>
                <c:pt idx="107">
                  <c:v>2.689203311472868</c:v>
                </c:pt>
                <c:pt idx="108">
                  <c:v>2.714336052701586</c:v>
                </c:pt>
                <c:pt idx="109">
                  <c:v>2.739468793930305</c:v>
                </c:pt>
                <c:pt idx="110">
                  <c:v>2.764601535159024</c:v>
                </c:pt>
                <c:pt idx="111">
                  <c:v>2.789734276387742</c:v>
                </c:pt>
                <c:pt idx="112">
                  <c:v>2.814867017616461</c:v>
                </c:pt>
                <c:pt idx="113">
                  <c:v>2.83999975884518</c:v>
                </c:pt>
                <c:pt idx="114">
                  <c:v>2.865132500073898</c:v>
                </c:pt>
                <c:pt idx="115">
                  <c:v>2.890265241302617</c:v>
                </c:pt>
                <c:pt idx="116">
                  <c:v>2.915397982531335</c:v>
                </c:pt>
                <c:pt idx="117">
                  <c:v>2.940530723760054</c:v>
                </c:pt>
                <c:pt idx="118">
                  <c:v>2.965663464988773</c:v>
                </c:pt>
                <c:pt idx="119">
                  <c:v>2.990796206217491</c:v>
                </c:pt>
                <c:pt idx="120">
                  <c:v>3.01592894744621</c:v>
                </c:pt>
                <c:pt idx="121">
                  <c:v>3.041061688674928</c:v>
                </c:pt>
                <c:pt idx="122">
                  <c:v>3.066194429903647</c:v>
                </c:pt>
                <c:pt idx="123">
                  <c:v>3.091327171132365</c:v>
                </c:pt>
                <c:pt idx="124">
                  <c:v>3.116459912361084</c:v>
                </c:pt>
                <c:pt idx="125">
                  <c:v>3.141592653589802</c:v>
                </c:pt>
                <c:pt idx="126">
                  <c:v>3.166725394818521</c:v>
                </c:pt>
                <c:pt idx="127">
                  <c:v>3.19185813604724</c:v>
                </c:pt>
                <c:pt idx="128">
                  <c:v>3.216990877275958</c:v>
                </c:pt>
                <c:pt idx="129">
                  <c:v>3.242123618504676</c:v>
                </c:pt>
                <c:pt idx="130">
                  <c:v>3.267256359733395</c:v>
                </c:pt>
                <c:pt idx="131">
                  <c:v>3.292389100962114</c:v>
                </c:pt>
                <c:pt idx="132">
                  <c:v>3.317521842190832</c:v>
                </c:pt>
                <c:pt idx="133">
                  <c:v>3.342654583419551</c:v>
                </c:pt>
                <c:pt idx="134">
                  <c:v>3.367787324648269</c:v>
                </c:pt>
                <c:pt idx="135">
                  <c:v>3.392920065876988</c:v>
                </c:pt>
                <c:pt idx="136">
                  <c:v>3.418052807105707</c:v>
                </c:pt>
                <c:pt idx="137">
                  <c:v>3.443185548334425</c:v>
                </c:pt>
                <c:pt idx="138">
                  <c:v>3.468318289563144</c:v>
                </c:pt>
                <c:pt idx="139">
                  <c:v>3.493451030791862</c:v>
                </c:pt>
                <c:pt idx="140">
                  <c:v>3.518583772020581</c:v>
                </c:pt>
                <c:pt idx="141">
                  <c:v>3.543716513249299</c:v>
                </c:pt>
                <c:pt idx="142">
                  <c:v>3.568849254478018</c:v>
                </c:pt>
                <c:pt idx="143">
                  <c:v>3.593981995706736</c:v>
                </c:pt>
                <c:pt idx="144">
                  <c:v>3.619114736935455</c:v>
                </c:pt>
                <c:pt idx="145">
                  <c:v>3.644247478164174</c:v>
                </c:pt>
                <c:pt idx="146">
                  <c:v>3.669380219392892</c:v>
                </c:pt>
                <c:pt idx="147">
                  <c:v>3.694512960621611</c:v>
                </c:pt>
                <c:pt idx="148">
                  <c:v>3.719645701850329</c:v>
                </c:pt>
                <c:pt idx="149">
                  <c:v>3.744778443079048</c:v>
                </c:pt>
                <c:pt idx="150">
                  <c:v>3.769911184307766</c:v>
                </c:pt>
                <c:pt idx="151">
                  <c:v>3.795043925536485</c:v>
                </c:pt>
                <c:pt idx="152">
                  <c:v>3.820176666765203</c:v>
                </c:pt>
                <c:pt idx="153">
                  <c:v>3.845309407993922</c:v>
                </c:pt>
                <c:pt idx="154">
                  <c:v>3.870442149222641</c:v>
                </c:pt>
                <c:pt idx="155">
                  <c:v>3.89557489045136</c:v>
                </c:pt>
                <c:pt idx="156">
                  <c:v>3.920707631680078</c:v>
                </c:pt>
                <c:pt idx="157">
                  <c:v>3.945840372908796</c:v>
                </c:pt>
                <c:pt idx="158">
                  <c:v>3.970973114137515</c:v>
                </c:pt>
                <c:pt idx="159">
                  <c:v>3.996105855366233</c:v>
                </c:pt>
                <c:pt idx="160">
                  <c:v>4.021238596594952</c:v>
                </c:pt>
                <c:pt idx="161">
                  <c:v>4.04637133782367</c:v>
                </c:pt>
                <c:pt idx="162">
                  <c:v>4.071504079052389</c:v>
                </c:pt>
                <c:pt idx="163">
                  <c:v>4.096636820281107</c:v>
                </c:pt>
                <c:pt idx="164">
                  <c:v>4.121769561509825</c:v>
                </c:pt>
                <c:pt idx="165">
                  <c:v>4.146902302738544</c:v>
                </c:pt>
                <c:pt idx="166">
                  <c:v>4.172035043967263</c:v>
                </c:pt>
                <c:pt idx="167">
                  <c:v>4.197167785195981</c:v>
                </c:pt>
                <c:pt idx="168">
                  <c:v>4.2223005264247</c:v>
                </c:pt>
                <c:pt idx="169">
                  <c:v>4.247433267653419</c:v>
                </c:pt>
                <c:pt idx="170">
                  <c:v>4.272566008882137</c:v>
                </c:pt>
                <c:pt idx="171">
                  <c:v>4.297698750110855</c:v>
                </c:pt>
                <c:pt idx="172">
                  <c:v>4.322831491339574</c:v>
                </c:pt>
                <c:pt idx="173">
                  <c:v>4.347964232568293</c:v>
                </c:pt>
                <c:pt idx="174">
                  <c:v>4.373096973797011</c:v>
                </c:pt>
                <c:pt idx="175">
                  <c:v>4.39822971502573</c:v>
                </c:pt>
                <c:pt idx="176">
                  <c:v>4.423362456254448</c:v>
                </c:pt>
                <c:pt idx="177">
                  <c:v>4.448495197483166</c:v>
                </c:pt>
                <c:pt idx="178">
                  <c:v>4.473627938711885</c:v>
                </c:pt>
                <c:pt idx="179">
                  <c:v>4.498760679940604</c:v>
                </c:pt>
                <c:pt idx="180">
                  <c:v>4.523893421169322</c:v>
                </c:pt>
                <c:pt idx="181">
                  <c:v>4.549026162398041</c:v>
                </c:pt>
                <c:pt idx="182">
                  <c:v>4.57415890362676</c:v>
                </c:pt>
                <c:pt idx="183">
                  <c:v>4.599291644855478</c:v>
                </c:pt>
                <c:pt idx="184">
                  <c:v>4.624424386084197</c:v>
                </c:pt>
                <c:pt idx="185">
                  <c:v>4.649557127312915</c:v>
                </c:pt>
                <c:pt idx="186">
                  <c:v>4.674689868541634</c:v>
                </c:pt>
                <c:pt idx="187">
                  <c:v>4.699822609770352</c:v>
                </c:pt>
                <c:pt idx="188">
                  <c:v>4.724955350999071</c:v>
                </c:pt>
                <c:pt idx="189">
                  <c:v>4.75008809222779</c:v>
                </c:pt>
                <c:pt idx="190">
                  <c:v>4.775220833456508</c:v>
                </c:pt>
                <c:pt idx="191">
                  <c:v>4.800353574685227</c:v>
                </c:pt>
                <c:pt idx="192">
                  <c:v>4.825486315913945</c:v>
                </c:pt>
                <c:pt idx="193">
                  <c:v>4.850619057142664</c:v>
                </c:pt>
                <c:pt idx="194">
                  <c:v>4.875751798371382</c:v>
                </c:pt>
                <c:pt idx="195">
                  <c:v>4.900884539600101</c:v>
                </c:pt>
                <c:pt idx="196">
                  <c:v>4.92601728082882</c:v>
                </c:pt>
                <c:pt idx="197">
                  <c:v>4.951150022057538</c:v>
                </c:pt>
                <c:pt idx="198">
                  <c:v>4.976282763286256</c:v>
                </c:pt>
                <c:pt idx="199">
                  <c:v>5.001415504514975</c:v>
                </c:pt>
                <c:pt idx="200">
                  <c:v>5.026548245743694</c:v>
                </c:pt>
                <c:pt idx="201">
                  <c:v>5.051680986972412</c:v>
                </c:pt>
                <c:pt idx="202">
                  <c:v>5.07681372820113</c:v>
                </c:pt>
                <c:pt idx="203">
                  <c:v>5.10194646942985</c:v>
                </c:pt>
                <c:pt idx="204">
                  <c:v>5.127079210658568</c:v>
                </c:pt>
                <c:pt idx="205">
                  <c:v>5.152211951887287</c:v>
                </c:pt>
                <c:pt idx="206">
                  <c:v>5.177344693116005</c:v>
                </c:pt>
                <c:pt idx="207">
                  <c:v>5.202477434344723</c:v>
                </c:pt>
                <c:pt idx="208">
                  <c:v>5.227610175573442</c:v>
                </c:pt>
                <c:pt idx="209">
                  <c:v>5.25274291680216</c:v>
                </c:pt>
                <c:pt idx="210">
                  <c:v>5.277875658030879</c:v>
                </c:pt>
                <c:pt idx="211">
                  <c:v>5.303008399259598</c:v>
                </c:pt>
                <c:pt idx="212">
                  <c:v>5.328141140488317</c:v>
                </c:pt>
                <c:pt idx="213">
                  <c:v>5.353273881717035</c:v>
                </c:pt>
                <c:pt idx="214">
                  <c:v>5.378406622945754</c:v>
                </c:pt>
                <c:pt idx="215">
                  <c:v>5.403539364174472</c:v>
                </c:pt>
                <c:pt idx="216">
                  <c:v>5.42867210540319</c:v>
                </c:pt>
                <c:pt idx="217">
                  <c:v>5.453804846631909</c:v>
                </c:pt>
                <c:pt idx="218">
                  <c:v>5.478937587860627</c:v>
                </c:pt>
                <c:pt idx="219">
                  <c:v>5.504070329089346</c:v>
                </c:pt>
                <c:pt idx="220">
                  <c:v>5.529203070318065</c:v>
                </c:pt>
                <c:pt idx="221">
                  <c:v>5.554335811546784</c:v>
                </c:pt>
                <c:pt idx="222">
                  <c:v>5.579468552775502</c:v>
                </c:pt>
                <c:pt idx="223">
                  <c:v>5.60460129400422</c:v>
                </c:pt>
                <c:pt idx="224">
                  <c:v>5.629734035232939</c:v>
                </c:pt>
                <c:pt idx="225">
                  <c:v>5.654866776461658</c:v>
                </c:pt>
                <c:pt idx="226">
                  <c:v>5.679999517690376</c:v>
                </c:pt>
                <c:pt idx="227">
                  <c:v>5.705132258919095</c:v>
                </c:pt>
                <c:pt idx="228">
                  <c:v>5.730265000147813</c:v>
                </c:pt>
                <c:pt idx="229">
                  <c:v>5.755397741376532</c:v>
                </c:pt>
                <c:pt idx="230">
                  <c:v>5.780530482605251</c:v>
                </c:pt>
                <c:pt idx="231">
                  <c:v>5.80566322383397</c:v>
                </c:pt>
                <c:pt idx="232">
                  <c:v>5.830795965062687</c:v>
                </c:pt>
                <c:pt idx="233">
                  <c:v>5.855928706291406</c:v>
                </c:pt>
                <c:pt idx="234">
                  <c:v>5.881061447520124</c:v>
                </c:pt>
                <c:pt idx="235">
                  <c:v>5.906194188748843</c:v>
                </c:pt>
                <c:pt idx="236">
                  <c:v>5.931326929977561</c:v>
                </c:pt>
                <c:pt idx="237">
                  <c:v>5.95645967120628</c:v>
                </c:pt>
                <c:pt idx="238">
                  <c:v>5.981592412435</c:v>
                </c:pt>
                <c:pt idx="239">
                  <c:v>6.006725153663717</c:v>
                </c:pt>
                <c:pt idx="240">
                  <c:v>6.031857894892436</c:v>
                </c:pt>
                <c:pt idx="241">
                  <c:v>6.056990636121155</c:v>
                </c:pt>
                <c:pt idx="242">
                  <c:v>6.082123377349873</c:v>
                </c:pt>
                <c:pt idx="243">
                  <c:v>6.107256118578592</c:v>
                </c:pt>
                <c:pt idx="244">
                  <c:v>6.13238885980731</c:v>
                </c:pt>
                <c:pt idx="245">
                  <c:v>6.157521601036029</c:v>
                </c:pt>
                <c:pt idx="246">
                  <c:v>6.182654342264748</c:v>
                </c:pt>
                <c:pt idx="247">
                  <c:v>6.207787083493466</c:v>
                </c:pt>
                <c:pt idx="248">
                  <c:v>6.232919824722184</c:v>
                </c:pt>
                <c:pt idx="249">
                  <c:v>6.258052565950903</c:v>
                </c:pt>
                <c:pt idx="250">
                  <c:v>6.283185307179622</c:v>
                </c:pt>
                <c:pt idx="251">
                  <c:v>6.30831804840834</c:v>
                </c:pt>
                <c:pt idx="252">
                  <c:v>6.333450789637059</c:v>
                </c:pt>
                <c:pt idx="253">
                  <c:v>6.358583530865777</c:v>
                </c:pt>
                <c:pt idx="254">
                  <c:v>6.383716272094496</c:v>
                </c:pt>
                <c:pt idx="255">
                  <c:v>6.408849013323214</c:v>
                </c:pt>
                <c:pt idx="256">
                  <c:v>6.433981754551933</c:v>
                </c:pt>
                <c:pt idx="257">
                  <c:v>6.459114495780651</c:v>
                </c:pt>
                <c:pt idx="258">
                  <c:v>6.48424723700937</c:v>
                </c:pt>
                <c:pt idx="259">
                  <c:v>6.509379978238089</c:v>
                </c:pt>
                <c:pt idx="260">
                  <c:v>6.534512719466807</c:v>
                </c:pt>
                <c:pt idx="261">
                  <c:v>6.559645460695525</c:v>
                </c:pt>
                <c:pt idx="262">
                  <c:v>6.584778201924244</c:v>
                </c:pt>
                <c:pt idx="263">
                  <c:v>6.609910943152963</c:v>
                </c:pt>
                <c:pt idx="264">
                  <c:v>6.63504368438168</c:v>
                </c:pt>
                <c:pt idx="265">
                  <c:v>6.6601764256104</c:v>
                </c:pt>
                <c:pt idx="266">
                  <c:v>6.685309166839119</c:v>
                </c:pt>
                <c:pt idx="267">
                  <c:v>6.710441908067837</c:v>
                </c:pt>
                <c:pt idx="268">
                  <c:v>6.735574649296556</c:v>
                </c:pt>
                <c:pt idx="269">
                  <c:v>6.760707390525274</c:v>
                </c:pt>
                <c:pt idx="270">
                  <c:v>6.785840131753993</c:v>
                </c:pt>
                <c:pt idx="271">
                  <c:v>6.810972872982711</c:v>
                </c:pt>
                <c:pt idx="272">
                  <c:v>6.83610561421143</c:v>
                </c:pt>
                <c:pt idx="273">
                  <c:v>6.861238355440148</c:v>
                </c:pt>
                <c:pt idx="274">
                  <c:v>6.886371096668867</c:v>
                </c:pt>
                <c:pt idx="275">
                  <c:v>6.911503837897586</c:v>
                </c:pt>
                <c:pt idx="276">
                  <c:v>6.936636579126304</c:v>
                </c:pt>
                <c:pt idx="277">
                  <c:v>6.961769320355022</c:v>
                </c:pt>
                <c:pt idx="278">
                  <c:v>6.986902061583741</c:v>
                </c:pt>
                <c:pt idx="279">
                  <c:v>7.01203480281246</c:v>
                </c:pt>
                <c:pt idx="280">
                  <c:v>7.037167544041178</c:v>
                </c:pt>
                <c:pt idx="281">
                  <c:v>7.062300285269897</c:v>
                </c:pt>
                <c:pt idx="282">
                  <c:v>7.087433026498616</c:v>
                </c:pt>
                <c:pt idx="283">
                  <c:v>7.112565767727334</c:v>
                </c:pt>
                <c:pt idx="284">
                  <c:v>7.137698508956053</c:v>
                </c:pt>
                <c:pt idx="285">
                  <c:v>7.162831250184771</c:v>
                </c:pt>
                <c:pt idx="286">
                  <c:v>7.18796399141349</c:v>
                </c:pt>
                <c:pt idx="287">
                  <c:v>7.213096732642208</c:v>
                </c:pt>
                <c:pt idx="288">
                  <c:v>7.238229473870926</c:v>
                </c:pt>
                <c:pt idx="289">
                  <c:v>7.263362215099645</c:v>
                </c:pt>
                <c:pt idx="290">
                  <c:v>7.288494956328364</c:v>
                </c:pt>
                <c:pt idx="291">
                  <c:v>7.313627697557083</c:v>
                </c:pt>
                <c:pt idx="292">
                  <c:v>7.338760438785801</c:v>
                </c:pt>
                <c:pt idx="293">
                  <c:v>7.36389318001452</c:v>
                </c:pt>
                <c:pt idx="294">
                  <c:v>7.389025921243238</c:v>
                </c:pt>
                <c:pt idx="295">
                  <c:v>7.414158662471957</c:v>
                </c:pt>
                <c:pt idx="296">
                  <c:v>7.439291403700675</c:v>
                </c:pt>
                <c:pt idx="297">
                  <c:v>7.464424144929394</c:v>
                </c:pt>
                <c:pt idx="298">
                  <c:v>7.489556886158113</c:v>
                </c:pt>
                <c:pt idx="299">
                  <c:v>7.514689627386831</c:v>
                </c:pt>
                <c:pt idx="300">
                  <c:v>7.53982236861555</c:v>
                </c:pt>
                <c:pt idx="301">
                  <c:v>7.564955109844268</c:v>
                </c:pt>
                <c:pt idx="302">
                  <c:v>7.590087851072987</c:v>
                </c:pt>
                <c:pt idx="303">
                  <c:v>7.615220592301705</c:v>
                </c:pt>
                <c:pt idx="304">
                  <c:v>7.640353333530424</c:v>
                </c:pt>
                <c:pt idx="305">
                  <c:v>7.665486074759142</c:v>
                </c:pt>
                <c:pt idx="306">
                  <c:v>7.690618815987861</c:v>
                </c:pt>
                <c:pt idx="307">
                  <c:v>7.71575155721658</c:v>
                </c:pt>
                <c:pt idx="308">
                  <c:v>7.740884298445298</c:v>
                </c:pt>
                <c:pt idx="309">
                  <c:v>7.766017039674017</c:v>
                </c:pt>
                <c:pt idx="310">
                  <c:v>7.791149780902735</c:v>
                </c:pt>
                <c:pt idx="311">
                  <c:v>7.816282522131454</c:v>
                </c:pt>
                <c:pt idx="312">
                  <c:v>7.841415263360172</c:v>
                </c:pt>
                <c:pt idx="313">
                  <c:v>7.866548004588891</c:v>
                </c:pt>
                <c:pt idx="314">
                  <c:v>7.89168074581761</c:v>
                </c:pt>
                <c:pt idx="315">
                  <c:v>7.916813487046328</c:v>
                </c:pt>
                <c:pt idx="316">
                  <c:v>7.941946228275047</c:v>
                </c:pt>
                <c:pt idx="317">
                  <c:v>7.967078969503765</c:v>
                </c:pt>
                <c:pt idx="318">
                  <c:v>7.992211710732484</c:v>
                </c:pt>
                <c:pt idx="319">
                  <c:v>8.017344451961202</c:v>
                </c:pt>
                <c:pt idx="320">
                  <c:v>8.04247719318992</c:v>
                </c:pt>
                <c:pt idx="321">
                  <c:v>8.06760993441864</c:v>
                </c:pt>
                <c:pt idx="322">
                  <c:v>8.092742675647357</c:v>
                </c:pt>
                <c:pt idx="323">
                  <c:v>8.117875416876076</c:v>
                </c:pt>
                <c:pt idx="324">
                  <c:v>8.143008158104795</c:v>
                </c:pt>
                <c:pt idx="325">
                  <c:v>8.168140899333513</c:v>
                </c:pt>
                <c:pt idx="326">
                  <c:v>8.193273640562232</c:v>
                </c:pt>
                <c:pt idx="327">
                  <c:v>8.218406381790951</c:v>
                </c:pt>
                <c:pt idx="328">
                  <c:v>8.24353912301967</c:v>
                </c:pt>
                <c:pt idx="329">
                  <c:v>8.268671864248388</c:v>
                </c:pt>
                <c:pt idx="330">
                  <c:v>8.293804605477106</c:v>
                </c:pt>
                <c:pt idx="331">
                  <c:v>8.318937346705825</c:v>
                </c:pt>
                <c:pt idx="332">
                  <c:v>8.344070087934543</c:v>
                </c:pt>
                <c:pt idx="333">
                  <c:v>8.36920282916326</c:v>
                </c:pt>
                <c:pt idx="334">
                  <c:v>8.39433557039198</c:v>
                </c:pt>
                <c:pt idx="335">
                  <c:v>8.4194683116207</c:v>
                </c:pt>
                <c:pt idx="336">
                  <c:v>8.444601052849417</c:v>
                </c:pt>
                <c:pt idx="337">
                  <c:v>8.469733794078136</c:v>
                </c:pt>
                <c:pt idx="338">
                  <c:v>8.494866535306854</c:v>
                </c:pt>
                <c:pt idx="339">
                  <c:v>8.519999276535573</c:v>
                </c:pt>
                <c:pt idx="340">
                  <c:v>8.54513201776429</c:v>
                </c:pt>
                <c:pt idx="341">
                  <c:v>8.57026475899301</c:v>
                </c:pt>
                <c:pt idx="342">
                  <c:v>8.59539750022173</c:v>
                </c:pt>
                <c:pt idx="343">
                  <c:v>8.620530241450447</c:v>
                </c:pt>
                <c:pt idx="344">
                  <c:v>8.645662982679166</c:v>
                </c:pt>
                <c:pt idx="345">
                  <c:v>8.670795723907885</c:v>
                </c:pt>
                <c:pt idx="346">
                  <c:v>8.695928465136603</c:v>
                </c:pt>
                <c:pt idx="347">
                  <c:v>8.721061206365322</c:v>
                </c:pt>
                <c:pt idx="348">
                  <c:v>8.74619394759404</c:v>
                </c:pt>
                <c:pt idx="349">
                  <c:v>8.771326688822759</c:v>
                </c:pt>
                <c:pt idx="350">
                  <c:v>8.796459430051477</c:v>
                </c:pt>
                <c:pt idx="351">
                  <c:v>8.821592171280196</c:v>
                </c:pt>
                <c:pt idx="352">
                  <c:v>8.846724912508914</c:v>
                </c:pt>
                <c:pt idx="353">
                  <c:v>8.871857653737633</c:v>
                </c:pt>
                <c:pt idx="354">
                  <c:v>8.89699039496635</c:v>
                </c:pt>
                <c:pt idx="355">
                  <c:v>8.92212313619507</c:v>
                </c:pt>
                <c:pt idx="356">
                  <c:v>8.947255877423788</c:v>
                </c:pt>
                <c:pt idx="357">
                  <c:v>8.972388618652507</c:v>
                </c:pt>
                <c:pt idx="358">
                  <c:v>8.997521359881225</c:v>
                </c:pt>
                <c:pt idx="359">
                  <c:v>9.022654101109944</c:v>
                </c:pt>
                <c:pt idx="360">
                  <c:v>9.047786842338663</c:v>
                </c:pt>
                <c:pt idx="361">
                  <c:v>9.07291958356738</c:v>
                </c:pt>
                <c:pt idx="362">
                  <c:v>9.0980523247961</c:v>
                </c:pt>
                <c:pt idx="363">
                  <c:v>9.123185066024818</c:v>
                </c:pt>
                <c:pt idx="364">
                  <c:v>9.148317807253537</c:v>
                </c:pt>
                <c:pt idx="365">
                  <c:v>9.173450548482255</c:v>
                </c:pt>
                <c:pt idx="366">
                  <c:v>9.198583289710974</c:v>
                </c:pt>
                <c:pt idx="367">
                  <c:v>9.223716030939693</c:v>
                </c:pt>
                <c:pt idx="368">
                  <c:v>9.248848772168412</c:v>
                </c:pt>
                <c:pt idx="369">
                  <c:v>9.27398151339713</c:v>
                </c:pt>
                <c:pt idx="370">
                  <c:v>9.299114254625848</c:v>
                </c:pt>
                <c:pt idx="371">
                  <c:v>9.324246995854567</c:v>
                </c:pt>
                <c:pt idx="372">
                  <c:v>9.349379737083285</c:v>
                </c:pt>
                <c:pt idx="373">
                  <c:v>9.374512478312004</c:v>
                </c:pt>
                <c:pt idx="374">
                  <c:v>9.39964521954072</c:v>
                </c:pt>
                <c:pt idx="375">
                  <c:v>9.424777960769441</c:v>
                </c:pt>
                <c:pt idx="376">
                  <c:v>9.44991070199816</c:v>
                </c:pt>
                <c:pt idx="377">
                  <c:v>9.475043443226878</c:v>
                </c:pt>
                <c:pt idx="378">
                  <c:v>9.500176184455597</c:v>
                </c:pt>
                <c:pt idx="379">
                  <c:v>9.525308925684315</c:v>
                </c:pt>
                <c:pt idx="380">
                  <c:v>9.550441666913034</c:v>
                </c:pt>
                <c:pt idx="381">
                  <c:v>9.575574408141752</c:v>
                </c:pt>
                <c:pt idx="382">
                  <c:v>9.600707149370471</c:v>
                </c:pt>
                <c:pt idx="383">
                  <c:v>9.62583989059919</c:v>
                </c:pt>
                <c:pt idx="384">
                  <c:v>9.650972631827908</c:v>
                </c:pt>
                <c:pt idx="385">
                  <c:v>9.676105373056627</c:v>
                </c:pt>
                <c:pt idx="386">
                  <c:v>9.701238114285345</c:v>
                </c:pt>
                <c:pt idx="387">
                  <c:v>9.726370855514064</c:v>
                </c:pt>
                <c:pt idx="388">
                  <c:v>9.751503596742782</c:v>
                </c:pt>
                <c:pt idx="389">
                  <c:v>9.7766363379715</c:v>
                </c:pt>
                <c:pt idx="390">
                  <c:v>9.80176907920022</c:v>
                </c:pt>
                <c:pt idx="391">
                  <c:v>9.826901820428938</c:v>
                </c:pt>
                <c:pt idx="392">
                  <c:v>9.852034561657656</c:v>
                </c:pt>
                <c:pt idx="393">
                  <c:v>9.877167302886375</c:v>
                </c:pt>
                <c:pt idx="394">
                  <c:v>9.902300044115094</c:v>
                </c:pt>
                <c:pt idx="395">
                  <c:v>9.927432785343812</c:v>
                </c:pt>
                <c:pt idx="396">
                  <c:v>9.95256552657253</c:v>
                </c:pt>
                <c:pt idx="397">
                  <c:v>9.97769826780125</c:v>
                </c:pt>
                <c:pt idx="398">
                  <c:v>10.00283100902997</c:v>
                </c:pt>
                <c:pt idx="399">
                  <c:v>10.02796375025869</c:v>
                </c:pt>
                <c:pt idx="400">
                  <c:v>10.05309649148741</c:v>
                </c:pt>
                <c:pt idx="401">
                  <c:v>10.07822923271612</c:v>
                </c:pt>
                <c:pt idx="402">
                  <c:v>10.10336197394484</c:v>
                </c:pt>
                <c:pt idx="403">
                  <c:v>10.12849471517356</c:v>
                </c:pt>
                <c:pt idx="404">
                  <c:v>10.15362745640228</c:v>
                </c:pt>
                <c:pt idx="405">
                  <c:v>10.178760197631</c:v>
                </c:pt>
                <c:pt idx="406">
                  <c:v>10.20389293885972</c:v>
                </c:pt>
                <c:pt idx="407">
                  <c:v>10.22902568008844</c:v>
                </c:pt>
                <c:pt idx="408">
                  <c:v>10.25415842131715</c:v>
                </c:pt>
                <c:pt idx="409">
                  <c:v>10.27929116254587</c:v>
                </c:pt>
                <c:pt idx="410">
                  <c:v>10.30442390377459</c:v>
                </c:pt>
                <c:pt idx="411">
                  <c:v>10.32955664500331</c:v>
                </c:pt>
                <c:pt idx="412">
                  <c:v>10.35468938623203</c:v>
                </c:pt>
                <c:pt idx="413">
                  <c:v>10.37982212746075</c:v>
                </c:pt>
                <c:pt idx="414">
                  <c:v>10.40495486868947</c:v>
                </c:pt>
                <c:pt idx="415">
                  <c:v>10.43008760991818</c:v>
                </c:pt>
                <c:pt idx="416">
                  <c:v>10.4552203511469</c:v>
                </c:pt>
                <c:pt idx="417">
                  <c:v>10.48035309237562</c:v>
                </c:pt>
                <c:pt idx="418">
                  <c:v>10.50548583360434</c:v>
                </c:pt>
                <c:pt idx="419">
                  <c:v>10.53061857483306</c:v>
                </c:pt>
                <c:pt idx="420">
                  <c:v>10.55575131606178</c:v>
                </c:pt>
                <c:pt idx="421">
                  <c:v>10.5808840572905</c:v>
                </c:pt>
                <c:pt idx="422">
                  <c:v>10.60601679851921</c:v>
                </c:pt>
                <c:pt idx="423">
                  <c:v>10.63114953974793</c:v>
                </c:pt>
                <c:pt idx="424">
                  <c:v>10.65628228097665</c:v>
                </c:pt>
                <c:pt idx="425">
                  <c:v>10.68141502220537</c:v>
                </c:pt>
                <c:pt idx="426">
                  <c:v>10.70654776343409</c:v>
                </c:pt>
                <c:pt idx="427">
                  <c:v>10.73168050466281</c:v>
                </c:pt>
                <c:pt idx="428">
                  <c:v>10.75681324589153</c:v>
                </c:pt>
                <c:pt idx="429">
                  <c:v>10.78194598712024</c:v>
                </c:pt>
                <c:pt idx="430">
                  <c:v>10.80707872834896</c:v>
                </c:pt>
                <c:pt idx="431">
                  <c:v>10.83221146957768</c:v>
                </c:pt>
                <c:pt idx="432">
                  <c:v>10.8573442108064</c:v>
                </c:pt>
                <c:pt idx="433">
                  <c:v>10.88247695203512</c:v>
                </c:pt>
                <c:pt idx="434">
                  <c:v>10.90760969326384</c:v>
                </c:pt>
                <c:pt idx="435">
                  <c:v>10.93274243449255</c:v>
                </c:pt>
                <c:pt idx="436">
                  <c:v>10.95787517572127</c:v>
                </c:pt>
                <c:pt idx="437">
                  <c:v>10.98300791695</c:v>
                </c:pt>
                <c:pt idx="438">
                  <c:v>11.00814065817871</c:v>
                </c:pt>
                <c:pt idx="439">
                  <c:v>11.03327339940743</c:v>
                </c:pt>
                <c:pt idx="440">
                  <c:v>11.05840614063615</c:v>
                </c:pt>
                <c:pt idx="441">
                  <c:v>11.08353888186487</c:v>
                </c:pt>
                <c:pt idx="442">
                  <c:v>11.10867162309358</c:v>
                </c:pt>
                <c:pt idx="443">
                  <c:v>11.1338043643223</c:v>
                </c:pt>
                <c:pt idx="444">
                  <c:v>11.15893710555102</c:v>
                </c:pt>
                <c:pt idx="445">
                  <c:v>11.18406984677974</c:v>
                </c:pt>
                <c:pt idx="446">
                  <c:v>11.20920258800846</c:v>
                </c:pt>
                <c:pt idx="447">
                  <c:v>11.23433532923718</c:v>
                </c:pt>
                <c:pt idx="448">
                  <c:v>11.2594680704659</c:v>
                </c:pt>
                <c:pt idx="449">
                  <c:v>11.28460081169461</c:v>
                </c:pt>
                <c:pt idx="450">
                  <c:v>11.30973355292333</c:v>
                </c:pt>
                <c:pt idx="451">
                  <c:v>11.33486629415205</c:v>
                </c:pt>
                <c:pt idx="452">
                  <c:v>11.35999903538077</c:v>
                </c:pt>
                <c:pt idx="453">
                  <c:v>11.38513177660949</c:v>
                </c:pt>
                <c:pt idx="454">
                  <c:v>11.41026451783821</c:v>
                </c:pt>
                <c:pt idx="455">
                  <c:v>11.43539725906693</c:v>
                </c:pt>
                <c:pt idx="456">
                  <c:v>11.46053000029564</c:v>
                </c:pt>
                <c:pt idx="457">
                  <c:v>11.48566274152436</c:v>
                </c:pt>
                <c:pt idx="458">
                  <c:v>11.51079548275308</c:v>
                </c:pt>
                <c:pt idx="459">
                  <c:v>11.5359282239818</c:v>
                </c:pt>
                <c:pt idx="460">
                  <c:v>11.56106096521052</c:v>
                </c:pt>
                <c:pt idx="461">
                  <c:v>11.58619370643924</c:v>
                </c:pt>
                <c:pt idx="462">
                  <c:v>11.61132644766796</c:v>
                </c:pt>
                <c:pt idx="463">
                  <c:v>11.63645918889667</c:v>
                </c:pt>
                <c:pt idx="464">
                  <c:v>11.66159193012539</c:v>
                </c:pt>
                <c:pt idx="465">
                  <c:v>11.68672467135411</c:v>
                </c:pt>
                <c:pt idx="466">
                  <c:v>11.71185741258283</c:v>
                </c:pt>
                <c:pt idx="467">
                  <c:v>11.73699015381155</c:v>
                </c:pt>
                <c:pt idx="468">
                  <c:v>11.76212289504027</c:v>
                </c:pt>
                <c:pt idx="469">
                  <c:v>11.78725563626899</c:v>
                </c:pt>
                <c:pt idx="470">
                  <c:v>11.8123883774977</c:v>
                </c:pt>
                <c:pt idx="471">
                  <c:v>11.83752111872642</c:v>
                </c:pt>
                <c:pt idx="472">
                  <c:v>11.86265385995514</c:v>
                </c:pt>
                <c:pt idx="473">
                  <c:v>11.88778660118386</c:v>
                </c:pt>
                <c:pt idx="474">
                  <c:v>11.91291934241258</c:v>
                </c:pt>
                <c:pt idx="475">
                  <c:v>11.9380520836413</c:v>
                </c:pt>
                <c:pt idx="476">
                  <c:v>11.96318482487002</c:v>
                </c:pt>
                <c:pt idx="477">
                  <c:v>11.98831756609873</c:v>
                </c:pt>
                <c:pt idx="478">
                  <c:v>12.01345030732745</c:v>
                </c:pt>
                <c:pt idx="479">
                  <c:v>12.03858304855617</c:v>
                </c:pt>
                <c:pt idx="480">
                  <c:v>12.0637157897849</c:v>
                </c:pt>
                <c:pt idx="481">
                  <c:v>12.08884853101361</c:v>
                </c:pt>
                <c:pt idx="482">
                  <c:v>12.11398127224233</c:v>
                </c:pt>
                <c:pt idx="483">
                  <c:v>12.13911401347105</c:v>
                </c:pt>
                <c:pt idx="484">
                  <c:v>12.16424675469976</c:v>
                </c:pt>
                <c:pt idx="485">
                  <c:v>12.18937949592848</c:v>
                </c:pt>
                <c:pt idx="486">
                  <c:v>12.2145122371572</c:v>
                </c:pt>
                <c:pt idx="487">
                  <c:v>12.23964497838592</c:v>
                </c:pt>
                <c:pt idx="488">
                  <c:v>12.26477771961464</c:v>
                </c:pt>
                <c:pt idx="489">
                  <c:v>12.28991046084336</c:v>
                </c:pt>
                <c:pt idx="490">
                  <c:v>12.31504320207208</c:v>
                </c:pt>
                <c:pt idx="491">
                  <c:v>12.34017594330079</c:v>
                </c:pt>
                <c:pt idx="492">
                  <c:v>12.36530868452951</c:v>
                </c:pt>
                <c:pt idx="493">
                  <c:v>12.39044142575823</c:v>
                </c:pt>
                <c:pt idx="494">
                  <c:v>12.41557416698695</c:v>
                </c:pt>
                <c:pt idx="495">
                  <c:v>12.44070690821567</c:v>
                </c:pt>
                <c:pt idx="496">
                  <c:v>12.46583964944439</c:v>
                </c:pt>
                <c:pt idx="497">
                  <c:v>12.49097239067311</c:v>
                </c:pt>
                <c:pt idx="498">
                  <c:v>12.51610513190182</c:v>
                </c:pt>
                <c:pt idx="499">
                  <c:v>12.54123787313054</c:v>
                </c:pt>
                <c:pt idx="500">
                  <c:v>12.56637061435926</c:v>
                </c:pt>
              </c:numCache>
            </c:numRef>
          </c:xVal>
          <c:yVal>
            <c:numRef>
              <c:f>'Iterative Steps'!$G$1:$G$501</c:f>
              <c:numCache>
                <c:formatCode>General</c:formatCode>
                <c:ptCount val="501"/>
                <c:pt idx="0">
                  <c:v>0.0</c:v>
                </c:pt>
                <c:pt idx="1">
                  <c:v>170.0</c:v>
                </c:pt>
                <c:pt idx="2">
                  <c:v>170.0235285477933</c:v>
                </c:pt>
                <c:pt idx="3">
                  <c:v>170.0467289692263</c:v>
                </c:pt>
                <c:pt idx="4">
                  <c:v>170.0695866102229</c:v>
                </c:pt>
                <c:pt idx="5">
                  <c:v>170.0920870332171</c:v>
                </c:pt>
                <c:pt idx="6">
                  <c:v>170.1142160262724</c:v>
                </c:pt>
                <c:pt idx="7">
                  <c:v>170.1359596120586</c:v>
                </c:pt>
                <c:pt idx="8">
                  <c:v>170.1573040566801</c:v>
                </c:pt>
                <c:pt idx="9">
                  <c:v>170.178235878351</c:v>
                </c:pt>
                <c:pt idx="10">
                  <c:v>170.1987418559097</c:v>
                </c:pt>
                <c:pt idx="11">
                  <c:v>170.2188090371712</c:v>
                </c:pt>
                <c:pt idx="12">
                  <c:v>170.2384247471069</c:v>
                </c:pt>
                <c:pt idx="13">
                  <c:v>170.2575765958507</c:v>
                </c:pt>
                <c:pt idx="14">
                  <c:v>170.2762524865255</c:v>
                </c:pt>
                <c:pt idx="15">
                  <c:v>170.294440622883</c:v>
                </c:pt>
                <c:pt idx="16">
                  <c:v>170.3121295167555</c:v>
                </c:pt>
                <c:pt idx="17">
                  <c:v>170.3293079953114</c:v>
                </c:pt>
                <c:pt idx="18">
                  <c:v>170.3459652081126</c:v>
                </c:pt>
                <c:pt idx="19">
                  <c:v>170.362090633968</c:v>
                </c:pt>
                <c:pt idx="20">
                  <c:v>170.3776740875792</c:v>
                </c:pt>
                <c:pt idx="21">
                  <c:v>170.3927057259731</c:v>
                </c:pt>
                <c:pt idx="22">
                  <c:v>170.40717605472</c:v>
                </c:pt>
                <c:pt idx="23">
                  <c:v>170.4210759339297</c:v>
                </c:pt>
                <c:pt idx="24">
                  <c:v>170.4343965840251</c:v>
                </c:pt>
                <c:pt idx="25">
                  <c:v>170.4471295912873</c:v>
                </c:pt>
                <c:pt idx="26">
                  <c:v>170.4592669131703</c:v>
                </c:pt>
                <c:pt idx="27">
                  <c:v>170.4708008833805</c:v>
                </c:pt>
                <c:pt idx="28">
                  <c:v>170.4817242167193</c:v>
                </c:pt>
                <c:pt idx="29">
                  <c:v>170.4920300136843</c:v>
                </c:pt>
                <c:pt idx="30">
                  <c:v>170.5017117648277</c:v>
                </c:pt>
                <c:pt idx="31">
                  <c:v>170.5107633548676</c:v>
                </c:pt>
                <c:pt idx="32">
                  <c:v>170.5191790665502</c:v>
                </c:pt>
                <c:pt idx="33">
                  <c:v>170.526953584262</c:v>
                </c:pt>
                <c:pt idx="34">
                  <c:v>170.5340819973861</c:v>
                </c:pt>
                <c:pt idx="35">
                  <c:v>170.540559803405</c:v>
                </c:pt>
                <c:pt idx="36">
                  <c:v>170.5463829107434</c:v>
                </c:pt>
                <c:pt idx="37">
                  <c:v>170.5515476413538</c:v>
                </c:pt>
                <c:pt idx="38">
                  <c:v>170.5560507330385</c:v>
                </c:pt>
                <c:pt idx="39">
                  <c:v>170.5598893415111</c:v>
                </c:pt>
                <c:pt idx="40">
                  <c:v>170.563061042192</c:v>
                </c:pt>
                <c:pt idx="41">
                  <c:v>170.565563831741</c:v>
                </c:pt>
                <c:pt idx="42">
                  <c:v>170.5673961293216</c:v>
                </c:pt>
                <c:pt idx="43">
                  <c:v>170.5685567776002</c:v>
                </c:pt>
                <c:pt idx="44">
                  <c:v>170.5690450434768</c:v>
                </c:pt>
                <c:pt idx="45">
                  <c:v>170.5688606185481</c:v>
                </c:pt>
                <c:pt idx="46">
                  <c:v>170.5680036193025</c:v>
                </c:pt>
                <c:pt idx="47">
                  <c:v>170.5664745870462</c:v>
                </c:pt>
                <c:pt idx="48">
                  <c:v>170.5642744875613</c:v>
                </c:pt>
                <c:pt idx="49">
                  <c:v>170.5614047104962</c:v>
                </c:pt>
                <c:pt idx="50">
                  <c:v>170.5578670684875</c:v>
                </c:pt>
                <c:pt idx="51">
                  <c:v>170.553663796015</c:v>
                </c:pt>
                <c:pt idx="52">
                  <c:v>170.5487975479907</c:v>
                </c:pt>
                <c:pt idx="53">
                  <c:v>170.5432713980815</c:v>
                </c:pt>
                <c:pt idx="54">
                  <c:v>170.5370888367682</c:v>
                </c:pt>
                <c:pt idx="55">
                  <c:v>170.5302537691404</c:v>
                </c:pt>
                <c:pt idx="56">
                  <c:v>170.52277051243</c:v>
                </c:pt>
                <c:pt idx="57">
                  <c:v>170.5146437932846</c:v>
                </c:pt>
                <c:pt idx="58">
                  <c:v>170.5058787447819</c:v>
                </c:pt>
                <c:pt idx="59">
                  <c:v>170.496480903187</c:v>
                </c:pt>
                <c:pt idx="60">
                  <c:v>170.4864562044562</c:v>
                </c:pt>
                <c:pt idx="61">
                  <c:v>170.4758109804876</c:v>
                </c:pt>
                <c:pt idx="62">
                  <c:v>170.4645519551211</c:v>
                </c:pt>
                <c:pt idx="63">
                  <c:v>170.4526862398922</c:v>
                </c:pt>
                <c:pt idx="64">
                  <c:v>170.4402213295394</c:v>
                </c:pt>
                <c:pt idx="65">
                  <c:v>170.427165097271</c:v>
                </c:pt>
                <c:pt idx="66">
                  <c:v>170.4135257897916</c:v>
                </c:pt>
                <c:pt idx="67">
                  <c:v>170.3993120220935</c:v>
                </c:pt>
                <c:pt idx="68">
                  <c:v>170.3845327720152</c:v>
                </c:pt>
                <c:pt idx="69">
                  <c:v>170.3691973745705</c:v>
                </c:pt>
                <c:pt idx="70">
                  <c:v>170.3533155160528</c:v>
                </c:pt>
                <c:pt idx="71">
                  <c:v>170.3368972279163</c:v>
                </c:pt>
                <c:pt idx="72">
                  <c:v>170.31995288044</c:v>
                </c:pt>
                <c:pt idx="73">
                  <c:v>170.302493176178</c:v>
                </c:pt>
                <c:pt idx="74">
                  <c:v>170.2845291431985</c:v>
                </c:pt>
                <c:pt idx="75">
                  <c:v>170.2660721281194</c:v>
                </c:pt>
                <c:pt idx="76">
                  <c:v>170.2471337889404</c:v>
                </c:pt>
                <c:pt idx="77">
                  <c:v>170.2277260876796</c:v>
                </c:pt>
                <c:pt idx="78">
                  <c:v>170.2078612828187</c:v>
                </c:pt>
                <c:pt idx="79">
                  <c:v>170.1875519215591</c:v>
                </c:pt>
                <c:pt idx="80">
                  <c:v>170.1668108318976</c:v>
                </c:pt>
                <c:pt idx="81">
                  <c:v>170.1456511145233</c:v>
                </c:pt>
                <c:pt idx="82">
                  <c:v>170.1240861345431</c:v>
                </c:pt>
                <c:pt idx="83">
                  <c:v>170.1021295130399</c:v>
                </c:pt>
                <c:pt idx="84">
                  <c:v>170.0797951184688</c:v>
                </c:pt>
                <c:pt idx="85">
                  <c:v>170.0570970578979</c:v>
                </c:pt>
                <c:pt idx="86">
                  <c:v>170.0340496680972</c:v>
                </c:pt>
                <c:pt idx="87">
                  <c:v>170.0106675064839</c:v>
                </c:pt>
                <c:pt idx="88">
                  <c:v>169.9869653419265</c:v>
                </c:pt>
                <c:pt idx="89">
                  <c:v>169.9629581454174</c:v>
                </c:pt>
                <c:pt idx="90">
                  <c:v>169.9386610806158</c:v>
                </c:pt>
                <c:pt idx="91">
                  <c:v>169.9140894942707</c:v>
                </c:pt>
                <c:pt idx="92">
                  <c:v>169.8892589065268</c:v>
                </c:pt>
                <c:pt idx="93">
                  <c:v>169.8641850011219</c:v>
                </c:pt>
                <c:pt idx="94">
                  <c:v>169.8388836154807</c:v>
                </c:pt>
                <c:pt idx="95">
                  <c:v>169.8133707307106</c:v>
                </c:pt>
                <c:pt idx="96">
                  <c:v>169.7876624615089</c:v>
                </c:pt>
                <c:pt idx="97">
                  <c:v>169.7617750459828</c:v>
                </c:pt>
                <c:pt idx="98">
                  <c:v>169.7357248353941</c:v>
                </c:pt>
                <c:pt idx="99">
                  <c:v>169.7095282838307</c:v>
                </c:pt>
                <c:pt idx="100">
                  <c:v>169.6832019378137</c:v>
                </c:pt>
                <c:pt idx="101">
                  <c:v>169.6567624258462</c:v>
                </c:pt>
                <c:pt idx="102">
                  <c:v>169.6302264479107</c:v>
                </c:pt>
                <c:pt idx="103">
                  <c:v>169.6036107649201</c:v>
                </c:pt>
                <c:pt idx="104">
                  <c:v>169.5769321881313</c:v>
                </c:pt>
                <c:pt idx="105">
                  <c:v>169.5502075685271</c:v>
                </c:pt>
                <c:pt idx="106">
                  <c:v>169.523453786172</c:v>
                </c:pt>
                <c:pt idx="107">
                  <c:v>169.4966877395509</c:v>
                </c:pt>
                <c:pt idx="108">
                  <c:v>169.469926334895</c:v>
                </c:pt>
                <c:pt idx="109">
                  <c:v>169.4431864755033</c:v>
                </c:pt>
                <c:pt idx="110">
                  <c:v>169.4164850510666</c:v>
                </c:pt>
                <c:pt idx="111">
                  <c:v>169.3898389269986</c:v>
                </c:pt>
                <c:pt idx="112">
                  <c:v>169.363264933784</c:v>
                </c:pt>
                <c:pt idx="113">
                  <c:v>169.3367798563473</c:v>
                </c:pt>
                <c:pt idx="114">
                  <c:v>169.3104004234511</c:v>
                </c:pt>
                <c:pt idx="115">
                  <c:v>169.2841432971302</c:v>
                </c:pt>
                <c:pt idx="116">
                  <c:v>169.2580250621663</c:v>
                </c:pt>
                <c:pt idx="117">
                  <c:v>169.2320622156135</c:v>
                </c:pt>
                <c:pt idx="118">
                  <c:v>169.2062711563781</c:v>
                </c:pt>
                <c:pt idx="119">
                  <c:v>169.1806681748602</c:v>
                </c:pt>
                <c:pt idx="120">
                  <c:v>169.1552694426643</c:v>
                </c:pt>
                <c:pt idx="121">
                  <c:v>169.1300910023855</c:v>
                </c:pt>
                <c:pt idx="122">
                  <c:v>169.1051487574753</c:v>
                </c:pt>
                <c:pt idx="123">
                  <c:v>169.0804584621977</c:v>
                </c:pt>
                <c:pt idx="124">
                  <c:v>169.0560357116776</c:v>
                </c:pt>
                <c:pt idx="125">
                  <c:v>169.0318959320504</c:v>
                </c:pt>
                <c:pt idx="126">
                  <c:v>169.0080543707193</c:v>
                </c:pt>
                <c:pt idx="127">
                  <c:v>168.9845260867234</c:v>
                </c:pt>
                <c:pt idx="128">
                  <c:v>168.9613259412267</c:v>
                </c:pt>
                <c:pt idx="129">
                  <c:v>168.9384685881314</c:v>
                </c:pt>
                <c:pt idx="130">
                  <c:v>168.9159684648214</c:v>
                </c:pt>
                <c:pt idx="131">
                  <c:v>168.8938397830439</c:v>
                </c:pt>
                <c:pt idx="132">
                  <c:v>168.8720965199325</c:v>
                </c:pt>
                <c:pt idx="133">
                  <c:v>168.8507524091791</c:v>
                </c:pt>
                <c:pt idx="134">
                  <c:v>168.8298209323587</c:v>
                </c:pt>
                <c:pt idx="135">
                  <c:v>168.8093153104147</c:v>
                </c:pt>
                <c:pt idx="136">
                  <c:v>168.789248495308</c:v>
                </c:pt>
                <c:pt idx="137">
                  <c:v>168.7696331618359</c:v>
                </c:pt>
                <c:pt idx="138">
                  <c:v>168.7504816996263</c:v>
                </c:pt>
                <c:pt idx="139">
                  <c:v>168.7318062053126</c:v>
                </c:pt>
                <c:pt idx="140">
                  <c:v>168.7136184748923</c:v>
                </c:pt>
                <c:pt idx="141">
                  <c:v>168.6959299962771</c:v>
                </c:pt>
                <c:pt idx="142">
                  <c:v>168.6787519420362</c:v>
                </c:pt>
                <c:pt idx="143">
                  <c:v>168.6620951623396</c:v>
                </c:pt>
                <c:pt idx="144">
                  <c:v>168.6459701781048</c:v>
                </c:pt>
                <c:pt idx="145">
                  <c:v>168.6303871743514</c:v>
                </c:pt>
                <c:pt idx="146">
                  <c:v>168.6153559937682</c:v>
                </c:pt>
                <c:pt idx="147">
                  <c:v>168.600886130496</c:v>
                </c:pt>
                <c:pt idx="148">
                  <c:v>168.5869867241307</c:v>
                </c:pt>
                <c:pt idx="149">
                  <c:v>168.5736665539509</c:v>
                </c:pt>
                <c:pt idx="150">
                  <c:v>168.5609340333723</c:v>
                </c:pt>
                <c:pt idx="151">
                  <c:v>168.5487972046335</c:v>
                </c:pt>
                <c:pt idx="152">
                  <c:v>168.5372637337167</c:v>
                </c:pt>
                <c:pt idx="153">
                  <c:v>168.5263409055051</c:v>
                </c:pt>
                <c:pt idx="154">
                  <c:v>168.5160356191819</c:v>
                </c:pt>
                <c:pt idx="155">
                  <c:v>168.5063543838726</c:v>
                </c:pt>
                <c:pt idx="156">
                  <c:v>168.4973033145332</c:v>
                </c:pt>
                <c:pt idx="157">
                  <c:v>168.4888881280884</c:v>
                </c:pt>
                <c:pt idx="158">
                  <c:v>168.4811141398203</c:v>
                </c:pt>
                <c:pt idx="159">
                  <c:v>168.4739862600111</c:v>
                </c:pt>
                <c:pt idx="160">
                  <c:v>168.4675089908417</c:v>
                </c:pt>
                <c:pt idx="161">
                  <c:v>168.461686423548</c:v>
                </c:pt>
                <c:pt idx="162">
                  <c:v>168.4565222358366</c:v>
                </c:pt>
                <c:pt idx="163">
                  <c:v>168.4520196895622</c:v>
                </c:pt>
                <c:pt idx="164">
                  <c:v>168.4481816286668</c:v>
                </c:pt>
                <c:pt idx="165">
                  <c:v>168.4450104773841</c:v>
                </c:pt>
                <c:pt idx="166">
                  <c:v>168.4425082387073</c:v>
                </c:pt>
                <c:pt idx="167">
                  <c:v>168.4406764931248</c:v>
                </c:pt>
                <c:pt idx="168">
                  <c:v>168.4395163976217</c:v>
                </c:pt>
                <c:pt idx="169">
                  <c:v>168.4390286849489</c:v>
                </c:pt>
                <c:pt idx="170">
                  <c:v>168.43921366316</c:v>
                </c:pt>
                <c:pt idx="171">
                  <c:v>168.4400712154174</c:v>
                </c:pt>
                <c:pt idx="172">
                  <c:v>168.4416008000656</c:v>
                </c:pt>
                <c:pt idx="173">
                  <c:v>168.4438014509734</c:v>
                </c:pt>
                <c:pt idx="174">
                  <c:v>168.4466717781442</c:v>
                </c:pt>
                <c:pt idx="175">
                  <c:v>168.4502099685941</c:v>
                </c:pt>
                <c:pt idx="176">
                  <c:v>168.4544137874966</c:v>
                </c:pt>
                <c:pt idx="177">
                  <c:v>168.4592805795948</c:v>
                </c:pt>
                <c:pt idx="178">
                  <c:v>168.4648072708779</c:v>
                </c:pt>
                <c:pt idx="179">
                  <c:v>168.4709903705235</c:v>
                </c:pt>
                <c:pt idx="180">
                  <c:v>168.4778259731017</c:v>
                </c:pt>
                <c:pt idx="181">
                  <c:v>168.4853097610427</c:v>
                </c:pt>
                <c:pt idx="182">
                  <c:v>168.4934370073635</c:v>
                </c:pt>
                <c:pt idx="183">
                  <c:v>168.5022025786535</c:v>
                </c:pt>
                <c:pt idx="184">
                  <c:v>168.5116009383171</c:v>
                </c:pt>
                <c:pt idx="185">
                  <c:v>168.5216261500709</c:v>
                </c:pt>
                <c:pt idx="186">
                  <c:v>168.5322718816928</c:v>
                </c:pt>
                <c:pt idx="187">
                  <c:v>168.5435314090223</c:v>
                </c:pt>
                <c:pt idx="188">
                  <c:v>168.5553976202067</c:v>
                </c:pt>
                <c:pt idx="189">
                  <c:v>168.5678630201944</c:v>
                </c:pt>
                <c:pt idx="190">
                  <c:v>168.5809197354677</c:v>
                </c:pt>
                <c:pt idx="191">
                  <c:v>168.594559519017</c:v>
                </c:pt>
                <c:pt idx="192">
                  <c:v>168.6087737555493</c:v>
                </c:pt>
                <c:pt idx="193">
                  <c:v>168.6235534669299</c:v>
                </c:pt>
                <c:pt idx="194">
                  <c:v>168.6388893178536</c:v>
                </c:pt>
                <c:pt idx="195">
                  <c:v>168.6547716217407</c:v>
                </c:pt>
                <c:pt idx="196">
                  <c:v>168.6711903468558</c:v>
                </c:pt>
                <c:pt idx="197">
                  <c:v>168.6881351226435</c:v>
                </c:pt>
                <c:pt idx="198">
                  <c:v>168.7055952462796</c:v>
                </c:pt>
                <c:pt idx="199">
                  <c:v>168.7235596894305</c:v>
                </c:pt>
                <c:pt idx="200">
                  <c:v>168.7420171052197</c:v>
                </c:pt>
                <c:pt idx="201">
                  <c:v>168.7609558353943</c:v>
                </c:pt>
                <c:pt idx="202">
                  <c:v>168.780363917689</c:v>
                </c:pt>
                <c:pt idx="203">
                  <c:v>168.8002290933817</c:v>
                </c:pt>
                <c:pt idx="204">
                  <c:v>168.8205388150366</c:v>
                </c:pt>
                <c:pt idx="205">
                  <c:v>168.8412802544294</c:v>
                </c:pt>
                <c:pt idx="206">
                  <c:v>168.86244031065</c:v>
                </c:pt>
                <c:pt idx="207">
                  <c:v>168.8840056183773</c:v>
                </c:pt>
                <c:pt idx="208">
                  <c:v>168.9059625563218</c:v>
                </c:pt>
                <c:pt idx="209">
                  <c:v>168.9282972558282</c:v>
                </c:pt>
                <c:pt idx="210">
                  <c:v>168.950995609636</c:v>
                </c:pt>
                <c:pt idx="211">
                  <c:v>168.9740432807898</c:v>
                </c:pt>
                <c:pt idx="212">
                  <c:v>168.9974257116949</c:v>
                </c:pt>
                <c:pt idx="213">
                  <c:v>169.0211281333124</c:v>
                </c:pt>
                <c:pt idx="214">
                  <c:v>169.0451355744879</c:v>
                </c:pt>
                <c:pt idx="215">
                  <c:v>169.0694328714073</c:v>
                </c:pt>
                <c:pt idx="216">
                  <c:v>169.0940046771752</c:v>
                </c:pt>
                <c:pt idx="217">
                  <c:v>169.1188354715082</c:v>
                </c:pt>
                <c:pt idx="218">
                  <c:v>169.1439095705381</c:v>
                </c:pt>
                <c:pt idx="219">
                  <c:v>169.169211136718</c:v>
                </c:pt>
                <c:pt idx="220">
                  <c:v>169.1947241888262</c:v>
                </c:pt>
                <c:pt idx="221">
                  <c:v>169.2204326120601</c:v>
                </c:pt>
                <c:pt idx="222">
                  <c:v>169.2463201682148</c:v>
                </c:pt>
                <c:pt idx="223">
                  <c:v>169.2723705059398</c:v>
                </c:pt>
                <c:pt idx="224">
                  <c:v>169.2985671710671</c:v>
                </c:pt>
                <c:pt idx="225">
                  <c:v>169.3248936170035</c:v>
                </c:pt>
                <c:pt idx="226">
                  <c:v>169.351333215183</c:v>
                </c:pt>
                <c:pt idx="227">
                  <c:v>169.3778692655686</c:v>
                </c:pt>
                <c:pt idx="228">
                  <c:v>169.404485007202</c:v>
                </c:pt>
                <c:pt idx="229">
                  <c:v>169.4311636287886</c:v>
                </c:pt>
                <c:pt idx="230">
                  <c:v>169.4578882793178</c:v>
                </c:pt>
                <c:pt idx="231">
                  <c:v>169.4846420787053</c:v>
                </c:pt>
                <c:pt idx="232">
                  <c:v>169.5114081284556</c:v>
                </c:pt>
                <c:pt idx="233">
                  <c:v>169.5381695223356</c:v>
                </c:pt>
                <c:pt idx="234">
                  <c:v>169.5649093570528</c:v>
                </c:pt>
                <c:pt idx="235">
                  <c:v>169.5916107429323</c:v>
                </c:pt>
                <c:pt idx="236">
                  <c:v>169.6182568145844</c:v>
                </c:pt>
                <c:pt idx="237">
                  <c:v>169.6448307415578</c:v>
                </c:pt>
                <c:pt idx="238">
                  <c:v>169.6713157389699</c:v>
                </c:pt>
                <c:pt idx="239">
                  <c:v>169.6976950781083</c:v>
                </c:pt>
                <c:pt idx="240">
                  <c:v>169.7239520969979</c:v>
                </c:pt>
                <c:pt idx="241">
                  <c:v>169.7500702109244</c:v>
                </c:pt>
                <c:pt idx="242">
                  <c:v>169.7760329229103</c:v>
                </c:pt>
                <c:pt idx="243">
                  <c:v>169.8018238341344</c:v>
                </c:pt>
                <c:pt idx="244">
                  <c:v>169.82742665429</c:v>
                </c:pt>
                <c:pt idx="245">
                  <c:v>169.8528252118745</c:v>
                </c:pt>
                <c:pt idx="246">
                  <c:v>169.8780034644032</c:v>
                </c:pt>
                <c:pt idx="247">
                  <c:v>169.9029455085431</c:v>
                </c:pt>
                <c:pt idx="248">
                  <c:v>169.9276355901571</c:v>
                </c:pt>
                <c:pt idx="249">
                  <c:v>169.9520581142552</c:v>
                </c:pt>
                <c:pt idx="250">
                  <c:v>169.9761976548449</c:v>
                </c:pt>
                <c:pt idx="251">
                  <c:v>170.0000389646741</c:v>
                </c:pt>
                <c:pt idx="252">
                  <c:v>170.0235669848626</c:v>
                </c:pt>
                <c:pt idx="253">
                  <c:v>170.0467668544129</c:v>
                </c:pt>
                <c:pt idx="254">
                  <c:v>170.0696239195972</c:v>
                </c:pt>
                <c:pt idx="255">
                  <c:v>170.0921237432135</c:v>
                </c:pt>
                <c:pt idx="256">
                  <c:v>170.1142521137037</c:v>
                </c:pt>
                <c:pt idx="257">
                  <c:v>170.1359950541309</c:v>
                </c:pt>
                <c:pt idx="258">
                  <c:v>170.1573388310072</c:v>
                </c:pt>
                <c:pt idx="259">
                  <c:v>170.1782699629683</c:v>
                </c:pt>
                <c:pt idx="260">
                  <c:v>170.1987752292886</c:v>
                </c:pt>
                <c:pt idx="261">
                  <c:v>170.2188416782319</c:v>
                </c:pt>
                <c:pt idx="262">
                  <c:v>170.2384566352322</c:v>
                </c:pt>
                <c:pt idx="263">
                  <c:v>170.2576077108993</c:v>
                </c:pt>
                <c:pt idx="264">
                  <c:v>170.2762828088441</c:v>
                </c:pt>
                <c:pt idx="265">
                  <c:v>170.2944701333192</c:v>
                </c:pt>
                <c:pt idx="266">
                  <c:v>170.3121581966696</c:v>
                </c:pt>
                <c:pt idx="267">
                  <c:v>170.3293358265883</c:v>
                </c:pt>
                <c:pt idx="268">
                  <c:v>170.3459921731732</c:v>
                </c:pt>
                <c:pt idx="269">
                  <c:v>170.3621167157805</c:v>
                </c:pt>
                <c:pt idx="270">
                  <c:v>170.3776992696694</c:v>
                </c:pt>
                <c:pt idx="271">
                  <c:v>170.3927299924354</c:v>
                </c:pt>
                <c:pt idx="272">
                  <c:v>170.4071993902269</c:v>
                </c:pt>
                <c:pt idx="273">
                  <c:v>170.4210983237417</c:v>
                </c:pt>
                <c:pt idx="274">
                  <c:v>170.4344180140003</c:v>
                </c:pt>
                <c:pt idx="275">
                  <c:v>170.4471500478899</c:v>
                </c:pt>
                <c:pt idx="276">
                  <c:v>170.4592863834791</c:v>
                </c:pt>
                <c:pt idx="277">
                  <c:v>170.4708193550977</c:v>
                </c:pt>
                <c:pt idx="278">
                  <c:v>170.4817416781774</c:v>
                </c:pt>
                <c:pt idx="279">
                  <c:v>170.4920464538543</c:v>
                </c:pt>
                <c:pt idx="280">
                  <c:v>170.5017271733254</c:v>
                </c:pt>
                <c:pt idx="281">
                  <c:v>170.5107777219605</c:v>
                </c:pt>
                <c:pt idx="282">
                  <c:v>170.5191923831638</c:v>
                </c:pt>
                <c:pt idx="283">
                  <c:v>170.5269658419849</c:v>
                </c:pt>
                <c:pt idx="284">
                  <c:v>170.5340931884761</c:v>
                </c:pt>
                <c:pt idx="285">
                  <c:v>170.5405699207934</c:v>
                </c:pt>
                <c:pt idx="286">
                  <c:v>170.54639194804</c:v>
                </c:pt>
                <c:pt idx="287">
                  <c:v>170.55155559285</c:v>
                </c:pt>
                <c:pt idx="288">
                  <c:v>170.5560575937122</c:v>
                </c:pt>
                <c:pt idx="289">
                  <c:v>170.5598951070286</c:v>
                </c:pt>
                <c:pt idx="290">
                  <c:v>170.5630657089119</c:v>
                </c:pt>
                <c:pt idx="291">
                  <c:v>170.5655673967156</c:v>
                </c:pt>
                <c:pt idx="292">
                  <c:v>170.567398590299</c:v>
                </c:pt>
                <c:pt idx="293">
                  <c:v>170.5685581330261</c:v>
                </c:pt>
                <c:pt idx="294">
                  <c:v>170.569045292495</c:v>
                </c:pt>
                <c:pt idx="295">
                  <c:v>170.5688597610015</c:v>
                </c:pt>
                <c:pt idx="296">
                  <c:v>170.5680016557326</c:v>
                </c:pt>
                <c:pt idx="297">
                  <c:v>170.5664715186932</c:v>
                </c:pt>
                <c:pt idx="298">
                  <c:v>170.5642703163634</c:v>
                </c:pt>
                <c:pt idx="299">
                  <c:v>170.561399439088</c:v>
                </c:pt>
                <c:pt idx="300">
                  <c:v>170.5578607001985</c:v>
                </c:pt>
                <c:pt idx="301">
                  <c:v>170.5536563348678</c:v>
                </c:pt>
                <c:pt idx="302">
                  <c:v>170.5487889986978</c:v>
                </c:pt>
                <c:pt idx="303">
                  <c:v>170.543261766043</c:v>
                </c:pt>
                <c:pt idx="304">
                  <c:v>170.5370781280679</c:v>
                </c:pt>
                <c:pt idx="305">
                  <c:v>170.5302419905422</c:v>
                </c:pt>
                <c:pt idx="306">
                  <c:v>170.5227576713738</c:v>
                </c:pt>
                <c:pt idx="307">
                  <c:v>170.514629897881</c:v>
                </c:pt>
                <c:pt idx="308">
                  <c:v>170.5058638038076</c:v>
                </c:pt>
                <c:pt idx="309">
                  <c:v>170.4964649260793</c:v>
                </c:pt>
                <c:pt idx="310">
                  <c:v>170.4864392013068</c:v>
                </c:pt>
                <c:pt idx="311">
                  <c:v>170.4757929620361</c:v>
                </c:pt>
                <c:pt idx="312">
                  <c:v>170.4645329327485</c:v>
                </c:pt>
                <c:pt idx="313">
                  <c:v>170.4526662256135</c:v>
                </c:pt>
                <c:pt idx="314">
                  <c:v>170.4402003359964</c:v>
                </c:pt>
                <c:pt idx="315">
                  <c:v>170.4271431377237</c:v>
                </c:pt>
                <c:pt idx="316">
                  <c:v>170.4135028781104</c:v>
                </c:pt>
                <c:pt idx="317">
                  <c:v>170.3992881727499</c:v>
                </c:pt>
                <c:pt idx="318">
                  <c:v>170.3845080000733</c:v>
                </c:pt>
                <c:pt idx="319">
                  <c:v>170.3691716956771</c:v>
                </c:pt>
                <c:pt idx="320">
                  <c:v>170.3532889464273</c:v>
                </c:pt>
                <c:pt idx="321">
                  <c:v>170.3368697843408</c:v>
                </c:pt>
                <c:pt idx="322">
                  <c:v>170.3199245802489</c:v>
                </c:pt>
                <c:pt idx="323">
                  <c:v>170.3024640372463</c:v>
                </c:pt>
                <c:pt idx="324">
                  <c:v>170.2844991839315</c:v>
                </c:pt>
                <c:pt idx="325">
                  <c:v>170.2660413674401</c:v>
                </c:pt>
                <c:pt idx="326">
                  <c:v>170.2471022462781</c:v>
                </c:pt>
                <c:pt idx="327">
                  <c:v>170.2276937829577</c:v>
                </c:pt>
                <c:pt idx="328">
                  <c:v>170.2078282364417</c:v>
                </c:pt>
                <c:pt idx="329">
                  <c:v>170.1875181544002</c:v>
                </c:pt>
                <c:pt idx="330">
                  <c:v>170.1667763652851</c:v>
                </c:pt>
                <c:pt idx="331">
                  <c:v>170.1456159702273</c:v>
                </c:pt>
                <c:pt idx="332">
                  <c:v>170.1240503347619</c:v>
                </c:pt>
                <c:pt idx="333">
                  <c:v>170.1020930803856</c:v>
                </c:pt>
                <c:pt idx="334">
                  <c:v>170.0797580759534</c:v>
                </c:pt>
                <c:pt idx="335">
                  <c:v>170.0570594289184</c:v>
                </c:pt>
                <c:pt idx="336">
                  <c:v>170.0340114764214</c:v>
                </c:pt>
                <c:pt idx="337">
                  <c:v>170.0106287762346</c:v>
                </c:pt>
                <c:pt idx="338">
                  <c:v>169.986926097567</c:v>
                </c:pt>
                <c:pt idx="339">
                  <c:v>169.9629184117355</c:v>
                </c:pt>
                <c:pt idx="340">
                  <c:v>169.9386208827086</c:v>
                </c:pt>
                <c:pt idx="341">
                  <c:v>169.9140488575284</c:v>
                </c:pt>
                <c:pt idx="342">
                  <c:v>169.8892178566167</c:v>
                </c:pt>
                <c:pt idx="343">
                  <c:v>169.8641435639725</c:v>
                </c:pt>
                <c:pt idx="344">
                  <c:v>169.8388418172647</c:v>
                </c:pt>
                <c:pt idx="345">
                  <c:v>169.8133285978293</c:v>
                </c:pt>
                <c:pt idx="346">
                  <c:v>169.7876200205744</c:v>
                </c:pt>
                <c:pt idx="347">
                  <c:v>169.7617323238022</c:v>
                </c:pt>
                <c:pt idx="348">
                  <c:v>169.7356818589519</c:v>
                </c:pt>
                <c:pt idx="349">
                  <c:v>169.7094850802721</c:v>
                </c:pt>
                <c:pt idx="350">
                  <c:v>169.6831585344274</c:v>
                </c:pt>
                <c:pt idx="351">
                  <c:v>169.6567188500472</c:v>
                </c:pt>
                <c:pt idx="352">
                  <c:v>169.6301827272227</c:v>
                </c:pt>
                <c:pt idx="353">
                  <c:v>169.6035669269582</c:v>
                </c:pt>
                <c:pt idx="354">
                  <c:v>169.576888260585</c:v>
                </c:pt>
                <c:pt idx="355">
                  <c:v>169.5501635791423</c:v>
                </c:pt>
                <c:pt idx="356">
                  <c:v>169.5234097627338</c:v>
                </c:pt>
                <c:pt idx="357">
                  <c:v>169.4966437098657</c:v>
                </c:pt>
                <c:pt idx="358">
                  <c:v>169.4698823267732</c:v>
                </c:pt>
                <c:pt idx="359">
                  <c:v>169.4431425167419</c:v>
                </c:pt>
                <c:pt idx="360">
                  <c:v>169.4164411694312</c:v>
                </c:pt>
                <c:pt idx="361">
                  <c:v>169.3897951502061</c:v>
                </c:pt>
                <c:pt idx="362">
                  <c:v>169.3632212894852</c:v>
                </c:pt>
                <c:pt idx="363">
                  <c:v>169.3367363721092</c:v>
                </c:pt>
                <c:pt idx="364">
                  <c:v>169.3103571267398</c:v>
                </c:pt>
                <c:pt idx="365">
                  <c:v>169.284100215293</c:v>
                </c:pt>
                <c:pt idx="366">
                  <c:v>169.257982222415</c:v>
                </c:pt>
                <c:pt idx="367">
                  <c:v>169.232019645007</c:v>
                </c:pt>
                <c:pt idx="368">
                  <c:v>169.2062288818052</c:v>
                </c:pt>
                <c:pt idx="369">
                  <c:v>169.1806262230228</c:v>
                </c:pt>
                <c:pt idx="370">
                  <c:v>169.1552278400606</c:v>
                </c:pt>
                <c:pt idx="371">
                  <c:v>169.1300497752927</c:v>
                </c:pt>
                <c:pt idx="372">
                  <c:v>169.1051079319338</c:v>
                </c:pt>
                <c:pt idx="373">
                  <c:v>169.080418063994</c:v>
                </c:pt>
                <c:pt idx="374">
                  <c:v>169.0559957663284</c:v>
                </c:pt>
                <c:pt idx="375">
                  <c:v>169.0318564647866</c:v>
                </c:pt>
                <c:pt idx="376">
                  <c:v>169.0080154064694</c:v>
                </c:pt>
                <c:pt idx="377">
                  <c:v>168.9844876500984</c:v>
                </c:pt>
                <c:pt idx="378">
                  <c:v>168.9612880565044</c:v>
                </c:pt>
                <c:pt idx="379">
                  <c:v>168.9384312792408</c:v>
                </c:pt>
                <c:pt idx="380">
                  <c:v>168.9159317553279</c:v>
                </c:pt>
                <c:pt idx="381">
                  <c:v>168.8938036961344</c:v>
                </c:pt>
                <c:pt idx="382">
                  <c:v>168.8720610784006</c:v>
                </c:pt>
                <c:pt idx="383">
                  <c:v>168.8507176354106</c:v>
                </c:pt>
                <c:pt idx="384">
                  <c:v>168.8297868483178</c:v>
                </c:pt>
                <c:pt idx="385">
                  <c:v>168.80928193763</c:v>
                </c:pt>
                <c:pt idx="386">
                  <c:v>168.7892158548586</c:v>
                </c:pt>
                <c:pt idx="387">
                  <c:v>168.7696012743385</c:v>
                </c:pt>
                <c:pt idx="388">
                  <c:v>168.7504505852221</c:v>
                </c:pt>
                <c:pt idx="389">
                  <c:v>168.7317758836542</c:v>
                </c:pt>
                <c:pt idx="390">
                  <c:v>168.7135889651319</c:v>
                </c:pt>
                <c:pt idx="391">
                  <c:v>168.695901317054</c:v>
                </c:pt>
                <c:pt idx="392">
                  <c:v>168.6787241114649</c:v>
                </c:pt>
                <c:pt idx="393">
                  <c:v>168.6620681979987</c:v>
                </c:pt>
                <c:pt idx="394">
                  <c:v>168.6459440970258</c:v>
                </c:pt>
                <c:pt idx="395">
                  <c:v>168.630361993008</c:v>
                </c:pt>
                <c:pt idx="396">
                  <c:v>168.6153317280657</c:v>
                </c:pt>
                <c:pt idx="397">
                  <c:v>168.6008627957612</c:v>
                </c:pt>
                <c:pt idx="398">
                  <c:v>168.5869643351026</c:v>
                </c:pt>
                <c:pt idx="399">
                  <c:v>168.573645124771</c:v>
                </c:pt>
                <c:pt idx="400">
                  <c:v>168.5609135775759</c:v>
                </c:pt>
                <c:pt idx="401">
                  <c:v>168.5487777351412</c:v>
                </c:pt>
                <c:pt idx="402">
                  <c:v>168.537245262826</c:v>
                </c:pt>
                <c:pt idx="403">
                  <c:v>168.5263234448827</c:v>
                </c:pt>
                <c:pt idx="404">
                  <c:v>168.5160191798566</c:v>
                </c:pt>
                <c:pt idx="405">
                  <c:v>168.5063389762278</c:v>
                </c:pt>
                <c:pt idx="406">
                  <c:v>168.4972889483008</c:v>
                </c:pt>
                <c:pt idx="407">
                  <c:v>168.4888748123427</c:v>
                </c:pt>
                <c:pt idx="408">
                  <c:v>168.4811018829718</c:v>
                </c:pt>
                <c:pt idx="409">
                  <c:v>168.4739750698016</c:v>
                </c:pt>
                <c:pt idx="410">
                  <c:v>168.4674988743393</c:v>
                </c:pt>
                <c:pt idx="411">
                  <c:v>168.4616773871425</c:v>
                </c:pt>
                <c:pt idx="412">
                  <c:v>168.4565142852358</c:v>
                </c:pt>
                <c:pt idx="413">
                  <c:v>168.4520128297879</c:v>
                </c:pt>
                <c:pt idx="414">
                  <c:v>168.4481758640518</c:v>
                </c:pt>
                <c:pt idx="415">
                  <c:v>168.4450058115694</c:v>
                </c:pt>
                <c:pt idx="416">
                  <c:v>168.4425046746401</c:v>
                </c:pt>
                <c:pt idx="417">
                  <c:v>168.4406740330563</c:v>
                </c:pt>
                <c:pt idx="418">
                  <c:v>168.4395150431058</c:v>
                </c:pt>
                <c:pt idx="419">
                  <c:v>168.4390284368409</c:v>
                </c:pt>
                <c:pt idx="420">
                  <c:v>168.4392145216168</c:v>
                </c:pt>
                <c:pt idx="421">
                  <c:v>168.4400731798968</c:v>
                </c:pt>
                <c:pt idx="422">
                  <c:v>168.4416038693267</c:v>
                </c:pt>
                <c:pt idx="423">
                  <c:v>168.4438056230776</c:v>
                </c:pt>
                <c:pt idx="424">
                  <c:v>168.4466770504562</c:v>
                </c:pt>
                <c:pt idx="425">
                  <c:v>168.4502163377838</c:v>
                </c:pt>
                <c:pt idx="426">
                  <c:v>168.4544212495411</c:v>
                </c:pt>
                <c:pt idx="427">
                  <c:v>168.4592891297808</c:v>
                </c:pt>
                <c:pt idx="428">
                  <c:v>168.4648169038048</c:v>
                </c:pt>
                <c:pt idx="429">
                  <c:v>168.4710010801068</c:v>
                </c:pt>
                <c:pt idx="430">
                  <c:v>168.4778377525771</c:v>
                </c:pt>
                <c:pt idx="431">
                  <c:v>168.4853226029698</c:v>
                </c:pt>
                <c:pt idx="432">
                  <c:v>168.493450903631</c:v>
                </c:pt>
                <c:pt idx="433">
                  <c:v>168.502217520484</c:v>
                </c:pt>
                <c:pt idx="434">
                  <c:v>168.5116169162731</c:v>
                </c:pt>
                <c:pt idx="435">
                  <c:v>168.5216431540601</c:v>
                </c:pt>
                <c:pt idx="436">
                  <c:v>168.5322899009751</c:v>
                </c:pt>
                <c:pt idx="437">
                  <c:v>168.543550432216</c:v>
                </c:pt>
                <c:pt idx="438">
                  <c:v>168.5554176352963</c:v>
                </c:pt>
                <c:pt idx="439">
                  <c:v>168.5678840145378</c:v>
                </c:pt>
                <c:pt idx="440">
                  <c:v>168.5809416958042</c:v>
                </c:pt>
                <c:pt idx="441">
                  <c:v>168.5945824314758</c:v>
                </c:pt>
                <c:pt idx="442">
                  <c:v>168.6087976056581</c:v>
                </c:pt>
                <c:pt idx="443">
                  <c:v>168.6235782396245</c:v>
                </c:pt>
                <c:pt idx="444">
                  <c:v>168.6389149974867</c:v>
                </c:pt>
                <c:pt idx="445">
                  <c:v>168.6547981920923</c:v>
                </c:pt>
                <c:pt idx="446">
                  <c:v>168.6712177911432</c:v>
                </c:pt>
                <c:pt idx="447">
                  <c:v>168.6881634235322</c:v>
                </c:pt>
                <c:pt idx="448">
                  <c:v>168.7056243858938</c:v>
                </c:pt>
                <c:pt idx="449">
                  <c:v>168.7235896493648</c:v>
                </c:pt>
                <c:pt idx="450">
                  <c:v>168.7420478665505</c:v>
                </c:pt>
                <c:pt idx="451">
                  <c:v>168.7609873786918</c:v>
                </c:pt>
                <c:pt idx="452">
                  <c:v>168.7803962230296</c:v>
                </c:pt>
                <c:pt idx="453">
                  <c:v>168.8002621403603</c:v>
                </c:pt>
                <c:pt idx="454">
                  <c:v>168.8205725827798</c:v>
                </c:pt>
                <c:pt idx="455">
                  <c:v>168.8413147216084</c:v>
                </c:pt>
                <c:pt idx="456">
                  <c:v>168.8624754554943</c:v>
                </c:pt>
                <c:pt idx="457">
                  <c:v>168.8840414186886</c:v>
                </c:pt>
                <c:pt idx="458">
                  <c:v>168.9059989894874</c:v>
                </c:pt>
                <c:pt idx="459">
                  <c:v>168.9283342988359</c:v>
                </c:pt>
                <c:pt idx="460">
                  <c:v>168.9510332390882</c:v>
                </c:pt>
                <c:pt idx="461">
                  <c:v>168.9740814729187</c:v>
                </c:pt>
                <c:pt idx="462">
                  <c:v>168.9974644423772</c:v>
                </c:pt>
                <c:pt idx="463">
                  <c:v>169.0211673780846</c:v>
                </c:pt>
                <c:pt idx="464">
                  <c:v>169.0451753085619</c:v>
                </c:pt>
                <c:pt idx="465">
                  <c:v>169.0694730696858</c:v>
                </c:pt>
                <c:pt idx="466">
                  <c:v>169.094045314268</c:v>
                </c:pt>
                <c:pt idx="467">
                  <c:v>169.1188765217475</c:v>
                </c:pt>
                <c:pt idx="468">
                  <c:v>169.1439510079954</c:v>
                </c:pt>
                <c:pt idx="469">
                  <c:v>169.1692529352202</c:v>
                </c:pt>
                <c:pt idx="470">
                  <c:v>169.1947663219721</c:v>
                </c:pt>
                <c:pt idx="471">
                  <c:v>169.220475053237</c:v>
                </c:pt>
                <c:pt idx="472">
                  <c:v>169.2463628906157</c:v>
                </c:pt>
                <c:pt idx="473">
                  <c:v>169.27241348258</c:v>
                </c:pt>
                <c:pt idx="474">
                  <c:v>169.2986103748012</c:v>
                </c:pt>
                <c:pt idx="475">
                  <c:v>169.3249370205428</c:v>
                </c:pt>
                <c:pt idx="476">
                  <c:v>169.3513767911125</c:v>
                </c:pt>
                <c:pt idx="477">
                  <c:v>169.3779129863645</c:v>
                </c:pt>
                <c:pt idx="478">
                  <c:v>169.4045288452488</c:v>
                </c:pt>
                <c:pt idx="479">
                  <c:v>169.4312075563971</c:v>
                </c:pt>
                <c:pt idx="480">
                  <c:v>169.4579322687419</c:v>
                </c:pt>
                <c:pt idx="481">
                  <c:v>169.48468610216</c:v>
                </c:pt>
                <c:pt idx="482">
                  <c:v>169.5114521581344</c:v>
                </c:pt>
                <c:pt idx="483">
                  <c:v>169.5382135304279</c:v>
                </c:pt>
                <c:pt idx="484">
                  <c:v>169.564953315762</c:v>
                </c:pt>
                <c:pt idx="485">
                  <c:v>169.5916546244925</c:v>
                </c:pt>
                <c:pt idx="486">
                  <c:v>169.618300591279</c:v>
                </c:pt>
                <c:pt idx="487">
                  <c:v>169.6448743857361</c:v>
                </c:pt>
                <c:pt idx="488">
                  <c:v>169.6713592230648</c:v>
                </c:pt>
                <c:pt idx="489">
                  <c:v>169.697738374654</c:v>
                </c:pt>
                <c:pt idx="490">
                  <c:v>169.7239951786469</c:v>
                </c:pt>
                <c:pt idx="491">
                  <c:v>169.7501130504652</c:v>
                </c:pt>
                <c:pt idx="492">
                  <c:v>169.7760754932841</c:v>
                </c:pt>
                <c:pt idx="493">
                  <c:v>169.8018661084526</c:v>
                </c:pt>
                <c:pt idx="494">
                  <c:v>169.8274686058508</c:v>
                </c:pt>
                <c:pt idx="495">
                  <c:v>169.85286681418</c:v>
                </c:pt>
                <c:pt idx="496">
                  <c:v>169.8780446911762</c:v>
                </c:pt>
                <c:pt idx="497">
                  <c:v>169.9029863337435</c:v>
                </c:pt>
                <c:pt idx="498">
                  <c:v>169.9276759879985</c:v>
                </c:pt>
                <c:pt idx="499">
                  <c:v>169.9520980592212</c:v>
                </c:pt>
                <c:pt idx="500">
                  <c:v>169.976237121705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4246128"/>
        <c:axId val="-1070687536"/>
      </c:scatterChart>
      <c:valAx>
        <c:axId val="-118424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0687536"/>
        <c:crosses val="autoZero"/>
        <c:crossBetween val="midCat"/>
      </c:valAx>
      <c:valAx>
        <c:axId val="-10706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4246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25399</xdr:colOff>
      <xdr:row>22</xdr:row>
      <xdr:rowOff>165100</xdr:rowOff>
    </xdr:from>
    <xdr:to>
      <xdr:col>7</xdr:col>
      <xdr:colOff>419100</xdr:colOff>
      <xdr:row>39</xdr:row>
      <xdr:rowOff>127000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25400</xdr:colOff>
      <xdr:row>5</xdr:row>
      <xdr:rowOff>50800</xdr:rowOff>
    </xdr:from>
    <xdr:to>
      <xdr:col>7</xdr:col>
      <xdr:colOff>419100</xdr:colOff>
      <xdr:row>22</xdr:row>
      <xdr:rowOff>177800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419100</xdr:colOff>
      <xdr:row>5</xdr:row>
      <xdr:rowOff>50800</xdr:rowOff>
    </xdr:from>
    <xdr:to>
      <xdr:col>17</xdr:col>
      <xdr:colOff>679450</xdr:colOff>
      <xdr:row>22</xdr:row>
      <xdr:rowOff>177800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419100</xdr:colOff>
      <xdr:row>22</xdr:row>
      <xdr:rowOff>177800</xdr:rowOff>
    </xdr:from>
    <xdr:to>
      <xdr:col>17</xdr:col>
      <xdr:colOff>673100</xdr:colOff>
      <xdr:row>39</xdr:row>
      <xdr:rowOff>127000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11</xdr:row>
          <xdr:rowOff>12700</xdr:rowOff>
        </xdr:from>
        <xdr:to>
          <xdr:col>1</xdr:col>
          <xdr:colOff>762000</xdr:colOff>
          <xdr:row>11</xdr:row>
          <xdr:rowOff>190500</xdr:rowOff>
        </xdr:to>
        <xdr:sp macro="" textlink="">
          <xdr:nvSpPr>
            <xdr:cNvPr id="1025" name="One Oscilati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One Oscilation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387350</xdr:colOff>
      <xdr:row>5</xdr:row>
      <xdr:rowOff>0</xdr:rowOff>
    </xdr:from>
    <xdr:to>
      <xdr:col>18</xdr:col>
      <xdr:colOff>647700</xdr:colOff>
      <xdr:row>19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5</xdr:row>
      <xdr:rowOff>88900</xdr:rowOff>
    </xdr:from>
    <xdr:to>
      <xdr:col>17</xdr:col>
      <xdr:colOff>444500</xdr:colOff>
      <xdr:row>18</xdr:row>
      <xdr:rowOff>190500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628650</xdr:colOff>
      <xdr:row>20</xdr:row>
      <xdr:rowOff>0</xdr:rowOff>
    </xdr:from>
    <xdr:to>
      <xdr:col>14</xdr:col>
      <xdr:colOff>247650</xdr:colOff>
      <xdr:row>33</xdr:row>
      <xdr:rowOff>101600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3"/>
  <sheetViews>
    <sheetView tabSelected="1" workbookViewId="0">
      <selection activeCell="A7" sqref="A7:B7"/>
    </sheetView>
  </sheetViews>
  <sheetFormatPr baseColWidth="10" defaultRowHeight="16" x14ac:dyDescent="0.2"/>
  <cols>
    <col min="1" max="1" width="21" bestFit="1" customWidth="1"/>
    <col min="2" max="2" width="10.83203125" customWidth="1"/>
    <col min="3" max="3" width="22.33203125" bestFit="1" customWidth="1"/>
    <col min="4" max="4" width="12.5" bestFit="1" customWidth="1"/>
    <col min="5" max="5" width="22.33203125" bestFit="1" customWidth="1"/>
    <col min="7" max="7" width="24" customWidth="1"/>
    <col min="8" max="8" width="17.5" customWidth="1"/>
  </cols>
  <sheetData>
    <row r="1" spans="1:8" x14ac:dyDescent="0.2">
      <c r="A1" s="23" t="s">
        <v>0</v>
      </c>
      <c r="B1" s="24"/>
      <c r="C1" s="25" t="s">
        <v>14</v>
      </c>
      <c r="D1" s="26"/>
      <c r="E1" s="25" t="s">
        <v>15</v>
      </c>
      <c r="F1" s="26"/>
      <c r="G1" s="15" t="s">
        <v>26</v>
      </c>
      <c r="H1" s="16"/>
    </row>
    <row r="2" spans="1:8" x14ac:dyDescent="0.2">
      <c r="A2" s="1" t="s">
        <v>3</v>
      </c>
      <c r="B2" s="2">
        <v>2</v>
      </c>
      <c r="C2" s="3" t="s">
        <v>6</v>
      </c>
      <c r="D2" s="7">
        <f>Calculations!A3</f>
        <v>8.2462112512353212</v>
      </c>
      <c r="E2" s="3" t="s">
        <v>6</v>
      </c>
      <c r="F2" s="7">
        <f>MAX('Iterative Steps'!$B:$B)</f>
        <v>8.2340266325919629</v>
      </c>
      <c r="G2" s="3" t="s">
        <v>6</v>
      </c>
      <c r="H2" s="9">
        <f>ABS(D2-F2)/D2</f>
        <v>1.4776020492481294E-3</v>
      </c>
    </row>
    <row r="3" spans="1:8" x14ac:dyDescent="0.2">
      <c r="A3" s="1" t="s">
        <v>2</v>
      </c>
      <c r="B3" s="2">
        <v>4</v>
      </c>
      <c r="C3" s="1" t="s">
        <v>7</v>
      </c>
      <c r="D3" s="2">
        <f>1/2*B5*'Analytical Steps'!C2^2+1/2*B4*'Analytical Steps'!B2^2</f>
        <v>170</v>
      </c>
      <c r="E3" s="1" t="s">
        <v>7</v>
      </c>
      <c r="F3" s="2">
        <f>1/2*B5*'Iterative Steps'!$C$2^2+1/2*B4*'Iterative Steps'!$B$2^2</f>
        <v>170</v>
      </c>
      <c r="G3" s="1" t="s">
        <v>7</v>
      </c>
      <c r="H3" s="10">
        <f>ABS(D3-F3)/D3</f>
        <v>0</v>
      </c>
    </row>
    <row r="4" spans="1:8" x14ac:dyDescent="0.2">
      <c r="A4" s="1" t="s">
        <v>5</v>
      </c>
      <c r="B4" s="2">
        <v>5</v>
      </c>
      <c r="C4" s="1" t="s">
        <v>8</v>
      </c>
      <c r="D4" s="2">
        <f>1/2*B5*'Analytical Steps'!C502^2+1/2*B4*'Analytical Steps'!B502^2</f>
        <v>170</v>
      </c>
      <c r="E4" s="1" t="s">
        <v>8</v>
      </c>
      <c r="F4" s="2">
        <f>1/2*B5*'Iterative Steps'!$C$502^2+1/2*B4*'Iterative Steps'!$B$502^2</f>
        <v>170.00007792849988</v>
      </c>
      <c r="G4" s="4" t="s">
        <v>8</v>
      </c>
      <c r="H4" s="11">
        <f>ABS(D4-F4)/D4</f>
        <v>4.5840294045346502E-7</v>
      </c>
    </row>
    <row r="5" spans="1:8" x14ac:dyDescent="0.2">
      <c r="A5" s="1" t="s">
        <v>4</v>
      </c>
      <c r="B5" s="6">
        <v>20</v>
      </c>
      <c r="C5" s="4" t="s">
        <v>25</v>
      </c>
      <c r="D5" s="12">
        <f>(D4-D3)/D4</f>
        <v>0</v>
      </c>
      <c r="E5" s="13" t="s">
        <v>25</v>
      </c>
      <c r="F5" s="12">
        <f>ABS(F4-F3)/F4</f>
        <v>4.5840273032030554E-7</v>
      </c>
      <c r="G5" s="2"/>
      <c r="H5" s="8"/>
    </row>
    <row r="6" spans="1:8" x14ac:dyDescent="0.2">
      <c r="A6" s="4" t="s">
        <v>1</v>
      </c>
      <c r="B6" s="5">
        <v>2.5132741228718346E-2</v>
      </c>
      <c r="C6" s="1"/>
      <c r="D6" s="2"/>
    </row>
    <row r="7" spans="1:8" x14ac:dyDescent="0.2">
      <c r="A7" s="31" t="str">
        <f>"For any time step ≥"&amp; 2*SQRT(B5/B4)</f>
        <v>For any time step ≥4</v>
      </c>
      <c r="B7" s="32"/>
    </row>
    <row r="8" spans="1:8" x14ac:dyDescent="0.2">
      <c r="A8" s="27" t="s">
        <v>20</v>
      </c>
      <c r="B8" s="28"/>
    </row>
    <row r="9" spans="1:8" x14ac:dyDescent="0.2">
      <c r="A9" s="29" t="s">
        <v>21</v>
      </c>
      <c r="B9" s="30"/>
    </row>
    <row r="10" spans="1:8" x14ac:dyDescent="0.2">
      <c r="A10" s="17" t="s">
        <v>27</v>
      </c>
      <c r="B10" s="18"/>
    </row>
    <row r="11" spans="1:8" x14ac:dyDescent="0.2">
      <c r="A11" s="19" t="str">
        <f>"set time step to "&amp;(2*PI()*SQRT(B5/B4))/500</f>
        <v>set time step to 0.0251327412287183</v>
      </c>
      <c r="B11" s="20"/>
    </row>
    <row r="12" spans="1:8" x14ac:dyDescent="0.2">
      <c r="A12" s="21" t="s">
        <v>29</v>
      </c>
      <c r="B12" s="22"/>
    </row>
    <row r="13" spans="1:8" x14ac:dyDescent="0.2">
      <c r="A13" t="s">
        <v>13</v>
      </c>
      <c r="B13" s="14"/>
    </row>
  </sheetData>
  <mergeCells count="10">
    <mergeCell ref="G1:H1"/>
    <mergeCell ref="A10:B10"/>
    <mergeCell ref="A11:B11"/>
    <mergeCell ref="A12:B12"/>
    <mergeCell ref="A1:B1"/>
    <mergeCell ref="C1:D1"/>
    <mergeCell ref="E1:F1"/>
    <mergeCell ref="A8:B8"/>
    <mergeCell ref="A9:B9"/>
    <mergeCell ref="A7:B7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ne Oscilation">
              <controlPr defaultSize="0" autoFill="0" autoPict="0" macro="[0]!OneOscilation_Click">
                <anchor moveWithCells="1" sizeWithCells="1">
                  <from>
                    <xdr:col>0</xdr:col>
                    <xdr:colOff>1257300</xdr:colOff>
                    <xdr:row>11</xdr:row>
                    <xdr:rowOff>12700</xdr:rowOff>
                  </from>
                  <to>
                    <xdr:col>1</xdr:col>
                    <xdr:colOff>762000</xdr:colOff>
                    <xdr:row>11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0"/>
  <sheetViews>
    <sheetView workbookViewId="0">
      <selection activeCell="A10" sqref="A10"/>
    </sheetView>
  </sheetViews>
  <sheetFormatPr baseColWidth="10" defaultRowHeight="16" x14ac:dyDescent="0.2"/>
  <sheetData>
    <row r="1" spans="1:2" x14ac:dyDescent="0.2">
      <c r="A1" t="s">
        <v>16</v>
      </c>
    </row>
    <row r="2" spans="1:2" x14ac:dyDescent="0.2">
      <c r="A2" t="s">
        <v>17</v>
      </c>
    </row>
    <row r="3" spans="1:2" x14ac:dyDescent="0.2">
      <c r="A3">
        <f>SQRT(2/'Inputs &amp; Outputs'!B4*(1/2*'Inputs &amp; Outputs'!B5*'Inputs &amp; Outputs'!B3^2+1/2*'Inputs &amp; Outputs'!B4*'Inputs &amp; Outputs'!B2^2))</f>
        <v>8.2462112512353212</v>
      </c>
    </row>
    <row r="5" spans="1:2" x14ac:dyDescent="0.2">
      <c r="A5" t="s">
        <v>18</v>
      </c>
    </row>
    <row r="6" spans="1:2" x14ac:dyDescent="0.2">
      <c r="A6" t="s">
        <v>19</v>
      </c>
      <c r="B6">
        <v>2.5132741228718346E-2</v>
      </c>
    </row>
    <row r="7" spans="1:2" x14ac:dyDescent="0.2">
      <c r="A7">
        <f>ASIN('Inputs &amp; Outputs'!B2/Calculations!A3)</f>
        <v>0.24497866312686412</v>
      </c>
    </row>
    <row r="9" spans="1:2" x14ac:dyDescent="0.2">
      <c r="A9" t="s">
        <v>28</v>
      </c>
    </row>
    <row r="10" spans="1:2" x14ac:dyDescent="0.2">
      <c r="A10">
        <f>(2*PI()*SQRT('Inputs &amp; Outputs'!B5/'Inputs &amp; Outputs'!B4))/500</f>
        <v>2.5132741228718346E-2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502"/>
  <sheetViews>
    <sheetView workbookViewId="0">
      <selection activeCell="D2" sqref="D2"/>
    </sheetView>
  </sheetViews>
  <sheetFormatPr baseColWidth="10" defaultRowHeight="16" x14ac:dyDescent="0.2"/>
  <cols>
    <col min="4" max="4" width="12.6640625" bestFit="1" customWidth="1"/>
    <col min="5" max="5" width="14.5" bestFit="1" customWidth="1"/>
  </cols>
  <sheetData>
    <row r="1" spans="1:6" x14ac:dyDescent="0.2">
      <c r="A1" t="s">
        <v>9</v>
      </c>
      <c r="B1" t="s">
        <v>10</v>
      </c>
      <c r="C1" t="s">
        <v>11</v>
      </c>
      <c r="D1" t="s">
        <v>22</v>
      </c>
      <c r="E1" t="s">
        <v>23</v>
      </c>
      <c r="F1" t="s">
        <v>24</v>
      </c>
    </row>
    <row r="2" spans="1:6" x14ac:dyDescent="0.2">
      <c r="A2">
        <v>0</v>
      </c>
      <c r="B2">
        <f>Calculations!$A$3*SIN(SQRT('Inputs &amp; Outputs'!$B$4/'Inputs &amp; Outputs'!$B$5)*A2+Calculations!$A$7)</f>
        <v>1.9999999999999998</v>
      </c>
      <c r="C2">
        <f>SQRT('Inputs &amp; Outputs'!$B$4/'Inputs &amp; Outputs'!$B$5)*Calculations!$A$3*COS(SQRT('Inputs &amp; Outputs'!$B$4/'Inputs &amp; Outputs'!$B$5)*A2+Calculations!$A$7)</f>
        <v>4</v>
      </c>
      <c r="D2">
        <f>1/2*'Inputs &amp; Outputs'!$B$5*'Analytical Steps'!C2^2</f>
        <v>160</v>
      </c>
      <c r="E2">
        <f>1/2*'Inputs &amp; Outputs'!$B$4*'Analytical Steps'!B2^2</f>
        <v>9.9999999999999982</v>
      </c>
      <c r="F2">
        <f>SUM(D2:E2)</f>
        <v>170</v>
      </c>
    </row>
    <row r="3" spans="1:6" x14ac:dyDescent="0.2">
      <c r="A3">
        <f>A2+'Inputs &amp; Outputs'!$B$6</f>
        <v>2.5132741228718346E-2</v>
      </c>
      <c r="B3">
        <f>Calculations!$A$3*SIN(SQRT('Inputs &amp; Outputs'!$B$4/'Inputs &amp; Outputs'!$B$5)*A3+Calculations!$A$7)</f>
        <v>2.1003704074744527</v>
      </c>
      <c r="C3">
        <f>SQRT('Inputs &amp; Outputs'!$B$4/'Inputs &amp; Outputs'!$B$5)*Calculations!$A$3*COS(SQRT('Inputs &amp; Outputs'!$B$4/'Inputs &amp; Outputs'!$B$5)*A3+Calculations!$A$7)</f>
        <v>3.9871181369319117</v>
      </c>
      <c r="D3">
        <f>1/2*'Inputs &amp; Outputs'!$B$5*'Analytical Steps'!C3^2</f>
        <v>158.971110378514</v>
      </c>
      <c r="E3">
        <f>1/2*'Inputs &amp; Outputs'!$B$4*'Analytical Steps'!B3^2</f>
        <v>11.028889621485995</v>
      </c>
      <c r="F3">
        <f t="shared" ref="F3:F66" si="0">SUM(D3:E3)</f>
        <v>170</v>
      </c>
    </row>
    <row r="4" spans="1:6" x14ac:dyDescent="0.2">
      <c r="A4">
        <f>A3+'Inputs &amp; Outputs'!$B$6</f>
        <v>5.0265482457436693E-2</v>
      </c>
      <c r="B4">
        <f>Calculations!$A$3*SIN(SQRT('Inputs &amp; Outputs'!$B$4/'Inputs &amp; Outputs'!$B$5)*A4+Calculations!$A$7)</f>
        <v>2.2004091421132994</v>
      </c>
      <c r="C4">
        <f>SQRT('Inputs &amp; Outputs'!$B$4/'Inputs &amp; Outputs'!$B$5)*Calculations!$A$3*COS(SQRT('Inputs &amp; Outputs'!$B$4/'Inputs &amp; Outputs'!$B$5)*A4+Calculations!$A$7)</f>
        <v>3.9736066616898627</v>
      </c>
      <c r="D4">
        <f>1/2*'Inputs &amp; Outputs'!$B$5*'Analytical Steps'!C4^2</f>
        <v>157.89549901826055</v>
      </c>
      <c r="E4">
        <f>1/2*'Inputs &amp; Outputs'!$B$4*'Analytical Steps'!B4^2</f>
        <v>12.104500981739466</v>
      </c>
      <c r="F4">
        <f t="shared" si="0"/>
        <v>170.00000000000003</v>
      </c>
    </row>
    <row r="5" spans="1:6" x14ac:dyDescent="0.2">
      <c r="A5">
        <f>A4+'Inputs &amp; Outputs'!$B$6</f>
        <v>7.5398223686155036E-2</v>
      </c>
      <c r="B5">
        <f>Calculations!$A$3*SIN(SQRT('Inputs &amp; Outputs'!$B$4/'Inputs &amp; Outputs'!$B$5)*A5+Calculations!$A$7)</f>
        <v>2.3001004066406545</v>
      </c>
      <c r="C5">
        <f>SQRT('Inputs &amp; Outputs'!$B$4/'Inputs &amp; Outputs'!$B$5)*Calculations!$A$3*COS(SQRT('Inputs &amp; Outputs'!$B$4/'Inputs &amp; Outputs'!$B$5)*A5+Calculations!$A$7)</f>
        <v>3.9594677078924225</v>
      </c>
      <c r="D5">
        <f>1/2*'Inputs &amp; Outputs'!$B$5*'Analytical Steps'!C5^2</f>
        <v>156.77384529842874</v>
      </c>
      <c r="E5">
        <f>1/2*'Inputs &amp; Outputs'!$B$4*'Analytical Steps'!B5^2</f>
        <v>13.226154701571261</v>
      </c>
      <c r="F5">
        <f t="shared" si="0"/>
        <v>170</v>
      </c>
    </row>
    <row r="6" spans="1:6" x14ac:dyDescent="0.2">
      <c r="A6">
        <f>A5+'Inputs &amp; Outputs'!$B$6</f>
        <v>0.10053096491487339</v>
      </c>
      <c r="B6">
        <f>Calculations!$A$3*SIN(SQRT('Inputs &amp; Outputs'!$B$4/'Inputs &amp; Outputs'!$B$5)*A6+Calculations!$A$7)</f>
        <v>2.3994284586501911</v>
      </c>
      <c r="C6">
        <f>SQRT('Inputs &amp; Outputs'!$B$4/'Inputs &amp; Outputs'!$B$5)*Calculations!$A$3*COS(SQRT('Inputs &amp; Outputs'!$B$4/'Inputs &amp; Outputs'!$B$5)*A6+Calculations!$A$7)</f>
        <v>3.9447035082443005</v>
      </c>
      <c r="D6">
        <f>1/2*'Inputs &amp; Outputs'!$B$5*'Analytical Steps'!C6^2</f>
        <v>155.60685767954891</v>
      </c>
      <c r="E6">
        <f>1/2*'Inputs &amp; Outputs'!$B$4*'Analytical Steps'!B6^2</f>
        <v>14.39314232045108</v>
      </c>
      <c r="F6">
        <f t="shared" si="0"/>
        <v>170</v>
      </c>
    </row>
    <row r="7" spans="1:6" x14ac:dyDescent="0.2">
      <c r="A7">
        <f>A6+'Inputs &amp; Outputs'!$B$6</f>
        <v>0.12566370614359174</v>
      </c>
      <c r="B7">
        <f>Calculations!$A$3*SIN(SQRT('Inputs &amp; Outputs'!$B$4/'Inputs &amp; Outputs'!$B$5)*A7+Calculations!$A$7)</f>
        <v>2.4983776130910496</v>
      </c>
      <c r="C7">
        <f>SQRT('Inputs &amp; Outputs'!$B$4/'Inputs &amp; Outputs'!$B$5)*Calculations!$A$3*COS(SQRT('Inputs &amp; Outputs'!$B$4/'Inputs &amp; Outputs'!$B$5)*A7+Calculations!$A$7)</f>
        <v>3.9293163941837728</v>
      </c>
      <c r="D7">
        <f>1/2*'Inputs &amp; Outputs'!$B$5*'Analytical Steps'!C7^2</f>
        <v>154.39527325601367</v>
      </c>
      <c r="E7">
        <f>1/2*'Inputs &amp; Outputs'!$B$4*'Analytical Steps'!B7^2</f>
        <v>15.604726743986326</v>
      </c>
      <c r="F7">
        <f t="shared" si="0"/>
        <v>170</v>
      </c>
    </row>
    <row r="8" spans="1:6" x14ac:dyDescent="0.2">
      <c r="A8">
        <f>A7+'Inputs &amp; Outputs'!$B$6</f>
        <v>0.15079644737231007</v>
      </c>
      <c r="B8">
        <f>Calculations!$A$3*SIN(SQRT('Inputs &amp; Outputs'!$B$4/'Inputs &amp; Outputs'!$B$5)*A8+Calculations!$A$7)</f>
        <v>2.5969322447446892</v>
      </c>
      <c r="C8">
        <f>SQRT('Inputs &amp; Outputs'!$B$4/'Inputs &amp; Outputs'!$B$5)*Calculations!$A$3*COS(SQRT('Inputs &amp; Outputs'!$B$4/'Inputs &amp; Outputs'!$B$5)*A8+Calculations!$A$7)</f>
        <v>3.9133087955145229</v>
      </c>
      <c r="D8">
        <f>1/2*'Inputs &amp; Outputs'!$B$5*'Analytical Steps'!C8^2</f>
        <v>153.13985729051328</v>
      </c>
      <c r="E8">
        <f>1/2*'Inputs &amp; Outputs'!$B$4*'Analytical Steps'!B8^2</f>
        <v>16.860142709486723</v>
      </c>
      <c r="F8">
        <f t="shared" si="0"/>
        <v>170</v>
      </c>
    </row>
    <row r="9" spans="1:6" x14ac:dyDescent="0.2">
      <c r="A9">
        <f>A8+'Inputs &amp; Outputs'!$B$6</f>
        <v>0.17592918860102841</v>
      </c>
      <c r="B9">
        <f>Calculations!$A$3*SIN(SQRT('Inputs &amp; Outputs'!$B$4/'Inputs &amp; Outputs'!$B$5)*A9+Calculations!$A$7)</f>
        <v>2.6950767906922897</v>
      </c>
      <c r="C9">
        <f>SQRT('Inputs &amp; Outputs'!$B$4/'Inputs &amp; Outputs'!$B$5)*Calculations!$A$3*COS(SQRT('Inputs &amp; Outputs'!$B$4/'Inputs &amp; Outputs'!$B$5)*A9+Calculations!$A$7)</f>
        <v>3.8966832400219471</v>
      </c>
      <c r="D9">
        <f>1/2*'Inputs &amp; Outputs'!$B$5*'Analytical Steps'!C9^2</f>
        <v>151.84140273067939</v>
      </c>
      <c r="E9">
        <f>1/2*'Inputs &amp; Outputs'!$B$4*'Analytical Steps'!B9^2</f>
        <v>18.15859726932063</v>
      </c>
      <c r="F9">
        <f t="shared" si="0"/>
        <v>170.00000000000003</v>
      </c>
    </row>
    <row r="10" spans="1:6" x14ac:dyDescent="0.2">
      <c r="A10">
        <f>A9+'Inputs &amp; Outputs'!$B$6</f>
        <v>0.20106192982974674</v>
      </c>
      <c r="B10">
        <f>Calculations!$A$3*SIN(SQRT('Inputs &amp; Outputs'!$B$4/'Inputs &amp; Outputs'!$B$5)*A10+Calculations!$A$7)</f>
        <v>2.7927957527723186</v>
      </c>
      <c r="C10">
        <f>SQRT('Inputs &amp; Outputs'!$B$4/'Inputs &amp; Outputs'!$B$5)*Calculations!$A$3*COS(SQRT('Inputs &amp; Outputs'!$B$4/'Inputs &amp; Outputs'!$B$5)*A10+Calculations!$A$7)</f>
        <v>3.8794423530739861</v>
      </c>
      <c r="D10">
        <f>1/2*'Inputs &amp; Outputs'!$B$5*'Analytical Steps'!C10^2</f>
        <v>150.50072970824226</v>
      </c>
      <c r="E10">
        <f>1/2*'Inputs &amp; Outputs'!$B$4*'Analytical Steps'!B10^2</f>
        <v>19.499270291757757</v>
      </c>
      <c r="F10">
        <f t="shared" si="0"/>
        <v>170.00000000000003</v>
      </c>
    </row>
    <row r="11" spans="1:6" x14ac:dyDescent="0.2">
      <c r="A11">
        <f>A10+'Inputs &amp; Outputs'!$B$6</f>
        <v>0.22619467105846508</v>
      </c>
      <c r="B11">
        <f>Calculations!$A$3*SIN(SQRT('Inputs &amp; Outputs'!$B$4/'Inputs &amp; Outputs'!$B$5)*A11+Calculations!$A$7)</f>
        <v>2.89007370002787</v>
      </c>
      <c r="C11">
        <f>SQRT('Inputs &amp; Outputs'!$B$4/'Inputs &amp; Outputs'!$B$5)*Calculations!$A$3*COS(SQRT('Inputs &amp; Outputs'!$B$4/'Inputs &amp; Outputs'!$B$5)*A11+Calculations!$A$7)</f>
        <v>3.8615888572065522</v>
      </c>
      <c r="D11">
        <f>1/2*'Inputs &amp; Outputs'!$B$5*'Analytical Steps'!C11^2</f>
        <v>149.11868502101805</v>
      </c>
      <c r="E11">
        <f>1/2*'Inputs &amp; Outputs'!$B$4*'Analytical Steps'!B11^2</f>
        <v>20.881314978981958</v>
      </c>
      <c r="F11">
        <f t="shared" si="0"/>
        <v>170</v>
      </c>
    </row>
    <row r="12" spans="1:6" x14ac:dyDescent="0.2">
      <c r="A12">
        <f>A11+'Inputs &amp; Outputs'!$B$6</f>
        <v>0.25132741228718342</v>
      </c>
      <c r="B12">
        <f>Calculations!$A$3*SIN(SQRT('Inputs &amp; Outputs'!$B$4/'Inputs &amp; Outputs'!$B$5)*A12+Calculations!$A$7)</f>
        <v>2.9868952711433892</v>
      </c>
      <c r="C12">
        <f>SQRT('Inputs &amp; Outputs'!$B$4/'Inputs &amp; Outputs'!$B$5)*Calculations!$A$3*COS(SQRT('Inputs &amp; Outputs'!$B$4/'Inputs &amp; Outputs'!$B$5)*A12+Calculations!$A$7)</f>
        <v>3.8431255716936072</v>
      </c>
      <c r="D12">
        <f>1/2*'Inputs &amp; Outputs'!$B$5*'Analytical Steps'!C12^2</f>
        <v>147.69614159805317</v>
      </c>
      <c r="E12">
        <f>1/2*'Inputs &amp; Outputs'!$B$4*'Analytical Steps'!B12^2</f>
        <v>22.303858401946851</v>
      </c>
      <c r="F12">
        <f t="shared" si="0"/>
        <v>170.00000000000003</v>
      </c>
    </row>
    <row r="13" spans="1:6" x14ac:dyDescent="0.2">
      <c r="A13">
        <f>A12+'Inputs &amp; Outputs'!$B$6</f>
        <v>0.27646015351590175</v>
      </c>
      <c r="B13">
        <f>Calculations!$A$3*SIN(SQRT('Inputs &amp; Outputs'!$B$4/'Inputs &amp; Outputs'!$B$5)*A13+Calculations!$A$7)</f>
        <v>3.0832451768704066</v>
      </c>
      <c r="C13">
        <f>SQRT('Inputs &amp; Outputs'!$B$4/'Inputs &amp; Outputs'!$B$5)*Calculations!$A$3*COS(SQRT('Inputs &amp; Outputs'!$B$4/'Inputs &amp; Outputs'!$B$5)*A13+Calculations!$A$7)</f>
        <v>3.8240554121019672</v>
      </c>
      <c r="D13">
        <f>1/2*'Inputs &amp; Outputs'!$B$5*'Analytical Steps'!C13^2</f>
        <v>146.23399794826346</v>
      </c>
      <c r="E13">
        <f>1/2*'Inputs &amp; Outputs'!$B$4*'Analytical Steps'!B13^2</f>
        <v>23.76600205173656</v>
      </c>
      <c r="F13">
        <f t="shared" si="0"/>
        <v>170.00000000000003</v>
      </c>
    </row>
    <row r="14" spans="1:6" x14ac:dyDescent="0.2">
      <c r="A14">
        <f>A13+'Inputs &amp; Outputs'!$B$6</f>
        <v>0.30159289474462009</v>
      </c>
      <c r="B14">
        <f>Calculations!$A$3*SIN(SQRT('Inputs &amp; Outputs'!$B$4/'Inputs &amp; Outputs'!$B$5)*A14+Calculations!$A$7)</f>
        <v>3.179108202441884</v>
      </c>
      <c r="C14">
        <f>SQRT('Inputs &amp; Outputs'!$B$4/'Inputs &amp; Outputs'!$B$5)*Calculations!$A$3*COS(SQRT('Inputs &amp; Outputs'!$B$4/'Inputs &amp; Outputs'!$B$5)*A14+Calculations!$A$7)</f>
        <v>3.8043813898308994</v>
      </c>
      <c r="D14">
        <f>1/2*'Inputs &amp; Outputs'!$B$5*'Analytical Steps'!C14^2</f>
        <v>144.73317759291686</v>
      </c>
      <c r="E14">
        <f>1/2*'Inputs &amp; Outputs'!$B$4*'Analytical Steps'!B14^2</f>
        <v>25.266822407083165</v>
      </c>
      <c r="F14">
        <f t="shared" si="0"/>
        <v>170.00000000000003</v>
      </c>
    </row>
    <row r="15" spans="1:6" x14ac:dyDescent="0.2">
      <c r="A15">
        <f>A14+'Inputs &amp; Outputs'!$B$6</f>
        <v>0.32672563597333842</v>
      </c>
      <c r="B15">
        <f>Calculations!$A$3*SIN(SQRT('Inputs &amp; Outputs'!$B$4/'Inputs &amp; Outputs'!$B$5)*A15+Calculations!$A$7)</f>
        <v>3.2744692099748041</v>
      </c>
      <c r="C15">
        <f>SQRT('Inputs &amp; Outputs'!$B$4/'Inputs &amp; Outputs'!$B$5)*Calculations!$A$3*COS(SQRT('Inputs &amp; Outputs'!$B$4/'Inputs &amp; Outputs'!$B$5)*A15+Calculations!$A$7)</f>
        <v>3.7841066116365889</v>
      </c>
      <c r="D15">
        <f>1/2*'Inputs &amp; Outputs'!$B$5*'Analytical Steps'!C15^2</f>
        <v>143.19462848231746</v>
      </c>
      <c r="E15">
        <f>1/2*'Inputs &amp; Outputs'!$B$4*'Analytical Steps'!B15^2</f>
        <v>26.805371517682545</v>
      </c>
      <c r="F15">
        <f t="shared" si="0"/>
        <v>170</v>
      </c>
    </row>
    <row r="16" spans="1:6" x14ac:dyDescent="0.2">
      <c r="A16">
        <f>A15+'Inputs &amp; Outputs'!$B$6</f>
        <v>0.35185837720205676</v>
      </c>
      <c r="B16">
        <f>Calculations!$A$3*SIN(SQRT('Inputs &amp; Outputs'!$B$4/'Inputs &amp; Outputs'!$B$5)*A16+Calculations!$A$7)</f>
        <v>3.3693131408606183</v>
      </c>
      <c r="C16">
        <f>SQRT('Inputs &amp; Outputs'!$B$4/'Inputs &amp; Outputs'!$B$5)*Calculations!$A$3*COS(SQRT('Inputs &amp; Outputs'!$B$4/'Inputs &amp; Outputs'!$B$5)*A16+Calculations!$A$7)</f>
        <v>3.7632342791415456</v>
      </c>
      <c r="D16">
        <f>1/2*'Inputs &amp; Outputs'!$B$5*'Analytical Steps'!C16^2</f>
        <v>141.61932239705988</v>
      </c>
      <c r="E16">
        <f>1/2*'Inputs &amp; Outputs'!$B$4*'Analytical Steps'!B16^2</f>
        <v>28.380677602940111</v>
      </c>
      <c r="F16">
        <f t="shared" si="0"/>
        <v>170</v>
      </c>
    </row>
    <row r="17" spans="1:6" x14ac:dyDescent="0.2">
      <c r="A17">
        <f>A16+'Inputs &amp; Outputs'!$B$6</f>
        <v>0.3769911184307751</v>
      </c>
      <c r="B17">
        <f>Calculations!$A$3*SIN(SQRT('Inputs &amp; Outputs'!$B$4/'Inputs &amp; Outputs'!$B$5)*A17+Calculations!$A$7)</f>
        <v>3.4636250181431736</v>
      </c>
      <c r="C17">
        <f>SQRT('Inputs &amp; Outputs'!$B$4/'Inputs &amp; Outputs'!$B$5)*Calculations!$A$3*COS(SQRT('Inputs &amp; Outputs'!$B$4/'Inputs &amp; Outputs'!$B$5)*A17+Calculations!$A$7)</f>
        <v>3.7417676883290305</v>
      </c>
      <c r="D17">
        <f>1/2*'Inputs &amp; Outputs'!$B$5*'Analytical Steps'!C17^2</f>
        <v>140.00825433423176</v>
      </c>
      <c r="E17">
        <f>1/2*'Inputs &amp; Outputs'!$B$4*'Analytical Steps'!B17^2</f>
        <v>29.991745665768249</v>
      </c>
      <c r="F17">
        <f t="shared" si="0"/>
        <v>170</v>
      </c>
    </row>
    <row r="18" spans="1:6" x14ac:dyDescent="0.2">
      <c r="A18">
        <f>A17+'Inputs &amp; Outputs'!$B$6</f>
        <v>0.40212385965949343</v>
      </c>
      <c r="B18">
        <f>Calculations!$A$3*SIN(SQRT('Inputs &amp; Outputs'!$B$4/'Inputs &amp; Outputs'!$B$5)*A18+Calculations!$A$7)</f>
        <v>3.557389948883749</v>
      </c>
      <c r="C18">
        <f>SQRT('Inputs &amp; Outputs'!$B$4/'Inputs &amp; Outputs'!$B$5)*Calculations!$A$3*COS(SQRT('Inputs &amp; Outputs'!$B$4/'Inputs &amp; Outputs'!$B$5)*A18+Calculations!$A$7)</f>
        <v>3.7197102290225805</v>
      </c>
      <c r="D18">
        <f>1/2*'Inputs &amp; Outputs'!$B$5*'Analytical Steps'!C18^2</f>
        <v>138.36244187895218</v>
      </c>
      <c r="E18">
        <f>1/2*'Inputs &amp; Outputs'!$B$4*'Analytical Steps'!B18^2</f>
        <v>31.63755812104781</v>
      </c>
      <c r="F18">
        <f t="shared" si="0"/>
        <v>170</v>
      </c>
    </row>
    <row r="19" spans="1:6" x14ac:dyDescent="0.2">
      <c r="A19">
        <f>A18+'Inputs &amp; Outputs'!$B$6</f>
        <v>0.42725660088821177</v>
      </c>
      <c r="B19">
        <f>Calculations!$A$3*SIN(SQRT('Inputs &amp; Outputs'!$B$4/'Inputs &amp; Outputs'!$B$5)*A19+Calculations!$A$7)</f>
        <v>3.6505931265128231</v>
      </c>
      <c r="C19">
        <f>SQRT('Inputs &amp; Outputs'!$B$4/'Inputs &amp; Outputs'!$B$5)*Calculations!$A$3*COS(SQRT('Inputs &amp; Outputs'!$B$4/'Inputs &amp; Outputs'!$B$5)*A19+Calculations!$A$7)</f>
        <v>3.6970653843507195</v>
      </c>
      <c r="D19">
        <f>1/2*'Inputs &amp; Outputs'!$B$5*'Analytical Steps'!C19^2</f>
        <v>136.68292456164335</v>
      </c>
      <c r="E19">
        <f>1/2*'Inputs &amp; Outputs'!$B$4*'Analytical Steps'!B19^2</f>
        <v>33.317075438356675</v>
      </c>
      <c r="F19">
        <f t="shared" si="0"/>
        <v>170.00000000000003</v>
      </c>
    </row>
    <row r="20" spans="1:6" x14ac:dyDescent="0.2">
      <c r="A20">
        <f>A19+'Inputs &amp; Outputs'!$B$6</f>
        <v>0.4523893421169301</v>
      </c>
      <c r="B20">
        <f>Calculations!$A$3*SIN(SQRT('Inputs &amp; Outputs'!$B$4/'Inputs &amp; Outputs'!$B$5)*A20+Calculations!$A$7)</f>
        <v>3.7432198331682027</v>
      </c>
      <c r="C20">
        <f>SQRT('Inputs &amp; Outputs'!$B$4/'Inputs &amp; Outputs'!$B$5)*Calculations!$A$3*COS(SQRT('Inputs &amp; Outputs'!$B$4/'Inputs &amp; Outputs'!$B$5)*A20+Calculations!$A$7)</f>
        <v>3.6738367301969275</v>
      </c>
      <c r="D20">
        <f>1/2*'Inputs &amp; Outputs'!$B$5*'Analytical Steps'!C20^2</f>
        <v>134.97076320144052</v>
      </c>
      <c r="E20">
        <f>1/2*'Inputs &amp; Outputs'!$B$4*'Analytical Steps'!B20^2</f>
        <v>35.029236798559467</v>
      </c>
      <c r="F20">
        <f t="shared" si="0"/>
        <v>170</v>
      </c>
    </row>
    <row r="21" spans="1:6" x14ac:dyDescent="0.2">
      <c r="A21">
        <f>A20+'Inputs &amp; Outputs'!$B$6</f>
        <v>0.47752208334564844</v>
      </c>
      <c r="B21">
        <f>Calculations!$A$3*SIN(SQRT('Inputs &amp; Outputs'!$B$4/'Inputs &amp; Outputs'!$B$5)*A21+Calculations!$A$7)</f>
        <v>3.8352554420191445</v>
      </c>
      <c r="C21">
        <f>SQRT('Inputs &amp; Outputs'!$B$4/'Inputs &amp; Outputs'!$B$5)*Calculations!$A$3*COS(SQRT('Inputs &amp; Outputs'!$B$4/'Inputs &amp; Outputs'!$B$5)*A21+Calculations!$A$7)</f>
        <v>3.6500279346349718</v>
      </c>
      <c r="D21">
        <f>1/2*'Inputs &amp; Outputs'!$B$5*'Analytical Steps'!C21^2</f>
        <v>133.22703923615637</v>
      </c>
      <c r="E21">
        <f>1/2*'Inputs &amp; Outputs'!$B$4*'Analytical Steps'!B21^2</f>
        <v>36.772960763843656</v>
      </c>
      <c r="F21">
        <f t="shared" si="0"/>
        <v>170.00000000000003</v>
      </c>
    </row>
    <row r="22" spans="1:6" x14ac:dyDescent="0.2">
      <c r="A22">
        <f>A21+'Inputs &amp; Outputs'!$B$6</f>
        <v>0.50265482457436683</v>
      </c>
      <c r="B22">
        <f>Calculations!$A$3*SIN(SQRT('Inputs &amp; Outputs'!$B$4/'Inputs &amp; Outputs'!$B$5)*A22+Calculations!$A$7)</f>
        <v>3.9266854195761001</v>
      </c>
      <c r="C22">
        <f>SQRT('Inputs &amp; Outputs'!$B$4/'Inputs &amp; Outputs'!$B$5)*Calculations!$A$3*COS(SQRT('Inputs &amp; Outputs'!$B$4/'Inputs &amp; Outputs'!$B$5)*A22+Calculations!$A$7)</f>
        <v>3.6256427573496701</v>
      </c>
      <c r="D22">
        <f>1/2*'Inputs &amp; Outputs'!$B$5*'Analytical Steps'!C22^2</f>
        <v>131.45285403922119</v>
      </c>
      <c r="E22">
        <f>1/2*'Inputs &amp; Outputs'!$B$4*'Analytical Steps'!B22^2</f>
        <v>38.547145960778835</v>
      </c>
      <c r="F22">
        <f t="shared" si="0"/>
        <v>170.00000000000003</v>
      </c>
    </row>
    <row r="23" spans="1:6" x14ac:dyDescent="0.2">
      <c r="A23">
        <f>A22+'Inputs &amp; Outputs'!$B$6</f>
        <v>0.52778756580308517</v>
      </c>
      <c r="B23">
        <f>Calculations!$A$3*SIN(SQRT('Inputs &amp; Outputs'!$B$4/'Inputs &amp; Outputs'!$B$5)*A23+Calculations!$A$7)</f>
        <v>4.0174953279857224</v>
      </c>
      <c r="C23">
        <f>SQRT('Inputs &amp; Outputs'!$B$4/'Inputs &amp; Outputs'!$B$5)*Calculations!$A$3*COS(SQRT('Inputs &amp; Outputs'!$B$4/'Inputs &amp; Outputs'!$B$5)*A23+Calculations!$A$7)</f>
        <v>3.6006850490431987</v>
      </c>
      <c r="D23">
        <f>1/2*'Inputs &amp; Outputs'!$B$5*'Analytical Steps'!C23^2</f>
        <v>129.64932822403222</v>
      </c>
      <c r="E23">
        <f>1/2*'Inputs &amp; Outputs'!$B$4*'Analytical Steps'!B23^2</f>
        <v>40.350671775967768</v>
      </c>
      <c r="F23">
        <f t="shared" si="0"/>
        <v>170</v>
      </c>
    </row>
    <row r="24" spans="1:6" x14ac:dyDescent="0.2">
      <c r="A24">
        <f>A23+'Inputs &amp; Outputs'!$B$6</f>
        <v>0.5529203070318035</v>
      </c>
      <c r="B24">
        <f>Calculations!$A$3*SIN(SQRT('Inputs &amp; Outputs'!$B$4/'Inputs &amp; Outputs'!$B$5)*A24+Calculations!$A$7)</f>
        <v>4.1076708273107734</v>
      </c>
      <c r="C24">
        <f>SQRT('Inputs &amp; Outputs'!$B$4/'Inputs &amp; Outputs'!$B$5)*Calculations!$A$3*COS(SQRT('Inputs &amp; Outputs'!$B$4/'Inputs &amp; Outputs'!$B$5)*A24+Calculations!$A$7)</f>
        <v>3.5751587508270184</v>
      </c>
      <c r="D24">
        <f>1/2*'Inputs &amp; Outputs'!$B$5*'Analytical Steps'!C24^2</f>
        <v>127.81760093615006</v>
      </c>
      <c r="E24">
        <f>1/2*'Inputs &amp; Outputs'!$B$4*'Analytical Steps'!B24^2</f>
        <v>42.182399063849935</v>
      </c>
      <c r="F24">
        <f t="shared" si="0"/>
        <v>170</v>
      </c>
    </row>
    <row r="25" spans="1:6" x14ac:dyDescent="0.2">
      <c r="A25">
        <f>A24+'Inputs &amp; Outputs'!$B$6</f>
        <v>0.57805304826052184</v>
      </c>
      <c r="B25">
        <f>Calculations!$A$3*SIN(SQRT('Inputs &amp; Outputs'!$B$4/'Inputs &amp; Outputs'!$B$5)*A25+Calculations!$A$7)</f>
        <v>4.1971976777945601</v>
      </c>
      <c r="C25">
        <f>SQRT('Inputs &amp; Outputs'!$B$4/'Inputs &amp; Outputs'!$B$5)*Calculations!$A$3*COS(SQRT('Inputs &amp; Outputs'!$B$4/'Inputs &amp; Outputs'!$B$5)*A25+Calculations!$A$7)</f>
        <v>3.5490678935995281</v>
      </c>
      <c r="D25">
        <f>1/2*'Inputs &amp; Outputs'!$B$5*'Analytical Steps'!C25^2</f>
        <v>125.95882913378992</v>
      </c>
      <c r="E25">
        <f>1/2*'Inputs &amp; Outputs'!$B$4*'Analytical Steps'!B25^2</f>
        <v>44.041170866210123</v>
      </c>
      <c r="F25">
        <f t="shared" si="0"/>
        <v>170.00000000000006</v>
      </c>
    </row>
    <row r="26" spans="1:6" x14ac:dyDescent="0.2">
      <c r="A26">
        <f>A25+'Inputs &amp; Outputs'!$B$6</f>
        <v>0.60318578948924018</v>
      </c>
      <c r="B26">
        <f>Calculations!$A$3*SIN(SQRT('Inputs &amp; Outputs'!$B$4/'Inputs &amp; Outputs'!$B$5)*A26+Calculations!$A$7)</f>
        <v>4.286061742109565</v>
      </c>
      <c r="C26">
        <f>SQRT('Inputs &amp; Outputs'!$B$4/'Inputs &amp; Outputs'!$B$5)*Calculations!$A$3*COS(SQRT('Inputs &amp; Outputs'!$B$4/'Inputs &amp; Outputs'!$B$5)*A26+Calculations!$A$7)</f>
        <v>3.5224165974095367</v>
      </c>
      <c r="D26">
        <f>1/2*'Inputs &amp; Outputs'!$B$5*'Analytical Steps'!C26^2</f>
        <v>124.07418685706178</v>
      </c>
      <c r="E26">
        <f>1/2*'Inputs &amp; Outputs'!$B$4*'Analytical Steps'!B26^2</f>
        <v>45.925813142938203</v>
      </c>
      <c r="F26">
        <f t="shared" si="0"/>
        <v>169.99999999999997</v>
      </c>
    </row>
    <row r="27" spans="1:6" x14ac:dyDescent="0.2">
      <c r="A27">
        <f>A26+'Inputs &amp; Outputs'!$B$6</f>
        <v>0.62831853071795851</v>
      </c>
      <c r="B27">
        <f>Calculations!$A$3*SIN(SQRT('Inputs &amp; Outputs'!$B$4/'Inputs &amp; Outputs'!$B$5)*A27+Calculations!$A$7)</f>
        <v>4.3742489875898851</v>
      </c>
      <c r="C27">
        <f>SQRT('Inputs &amp; Outputs'!$B$4/'Inputs &amp; Outputs'!$B$5)*Calculations!$A$3*COS(SQRT('Inputs &amp; Outputs'!$B$4/'Inputs &amp; Outputs'!$B$5)*A27+Calculations!$A$7)</f>
        <v>3.4952090708056671</v>
      </c>
      <c r="D27">
        <f>1/2*'Inputs &amp; Outputs'!$B$5*'Analytical Steps'!C27^2</f>
        <v>122.16486448642215</v>
      </c>
      <c r="E27">
        <f>1/2*'Inputs &amp; Outputs'!$B$4*'Analytical Steps'!B27^2</f>
        <v>47.835135513577839</v>
      </c>
      <c r="F27">
        <f t="shared" si="0"/>
        <v>170</v>
      </c>
    </row>
    <row r="28" spans="1:6" x14ac:dyDescent="0.2">
      <c r="A28">
        <f>A27+'Inputs &amp; Outputs'!$B$6</f>
        <v>0.65345127194667685</v>
      </c>
      <c r="B28">
        <f>Calculations!$A$3*SIN(SQRT('Inputs &amp; Outputs'!$B$4/'Inputs &amp; Outputs'!$B$5)*A28+Calculations!$A$7)</f>
        <v>4.4617454884471641</v>
      </c>
      <c r="C28">
        <f>SQRT('Inputs &amp; Outputs'!$B$4/'Inputs &amp; Outputs'!$B$5)*Calculations!$A$3*COS(SQRT('Inputs &amp; Outputs'!$B$4/'Inputs &amp; Outputs'!$B$5)*A28+Calculations!$A$7)</f>
        <v>3.4674496101717676</v>
      </c>
      <c r="D28">
        <f>1/2*'Inputs &amp; Outputs'!$B$5*'Analytical Steps'!C28^2</f>
        <v>120.23206799080343</v>
      </c>
      <c r="E28">
        <f>1/2*'Inputs &amp; Outputs'!$B$4*'Analytical Steps'!B28^2</f>
        <v>49.767932009196556</v>
      </c>
      <c r="F28">
        <f t="shared" si="0"/>
        <v>170</v>
      </c>
    </row>
    <row r="29" spans="1:6" x14ac:dyDescent="0.2">
      <c r="A29">
        <f>A28+'Inputs &amp; Outputs'!$B$6</f>
        <v>0.67858401317539518</v>
      </c>
      <c r="B29">
        <f>Calculations!$A$3*SIN(SQRT('Inputs &amp; Outputs'!$B$4/'Inputs &amp; Outputs'!$B$5)*A29+Calculations!$A$7)</f>
        <v>4.5485374279696211</v>
      </c>
      <c r="C29">
        <f>SQRT('Inputs &amp; Outputs'!$B$4/'Inputs &amp; Outputs'!$B$5)*Calculations!$A$3*COS(SQRT('Inputs &amp; Outputs'!$B$4/'Inputs &amp; Outputs'!$B$5)*A29+Calculations!$A$7)</f>
        <v>3.4391425990484716</v>
      </c>
      <c r="D29">
        <f>1/2*'Inputs &amp; Outputs'!$B$5*'Analytical Steps'!C29^2</f>
        <v>118.27701816589877</v>
      </c>
      <c r="E29">
        <f>1/2*'Inputs &amp; Outputs'!$B$4*'Analytical Steps'!B29^2</f>
        <v>51.72298183410124</v>
      </c>
      <c r="F29">
        <f t="shared" si="0"/>
        <v>170</v>
      </c>
    </row>
    <row r="30" spans="1:6" x14ac:dyDescent="0.2">
      <c r="A30">
        <f>A29+'Inputs &amp; Outputs'!$B$6</f>
        <v>0.70371675440411352</v>
      </c>
      <c r="B30">
        <f>Calculations!$A$3*SIN(SQRT('Inputs &amp; Outputs'!$B$4/'Inputs &amp; Outputs'!$B$5)*A30+Calculations!$A$7)</f>
        <v>4.6346111007038839</v>
      </c>
      <c r="C30">
        <f>SQRT('Inputs &amp; Outputs'!$B$4/'Inputs &amp; Outputs'!$B$5)*Calculations!$A$3*COS(SQRT('Inputs &amp; Outputs'!$B$4/'Inputs &amp; Outputs'!$B$5)*A30+Calculations!$A$7)</f>
        <v>3.4102925074409796</v>
      </c>
      <c r="D30">
        <f>1/2*'Inputs &amp; Outputs'!$B$5*'Analytical Steps'!C30^2</f>
        <v>116.30094986308083</v>
      </c>
      <c r="E30">
        <f>1/2*'Inputs &amp; Outputs'!$B$4*'Analytical Steps'!B30^2</f>
        <v>53.699050136919169</v>
      </c>
      <c r="F30">
        <f t="shared" si="0"/>
        <v>170</v>
      </c>
    </row>
    <row r="31" spans="1:6" x14ac:dyDescent="0.2">
      <c r="A31">
        <f>A30+'Inputs &amp; Outputs'!$B$6</f>
        <v>0.72884949563283186</v>
      </c>
      <c r="B31">
        <f>Calculations!$A$3*SIN(SQRT('Inputs &amp; Outputs'!$B$4/'Inputs &amp; Outputs'!$B$5)*A31+Calculations!$A$7)</f>
        <v>4.7199529146192285</v>
      </c>
      <c r="C31">
        <f>SQRT('Inputs &amp; Outputs'!$B$4/'Inputs &amp; Outputs'!$B$5)*Calculations!$A$3*COS(SQRT('Inputs &amp; Outputs'!$B$4/'Inputs &amp; Outputs'!$B$5)*A31+Calculations!$A$7)</f>
        <v>3.3809038911131979</v>
      </c>
      <c r="D31">
        <f>1/2*'Inputs &amp; Outputs'!$B$5*'Analytical Steps'!C31^2</f>
        <v>114.30511120944362</v>
      </c>
      <c r="E31">
        <f>1/2*'Inputs &amp; Outputs'!$B$4*'Analytical Steps'!B31^2</f>
        <v>55.694888790556377</v>
      </c>
      <c r="F31">
        <f t="shared" si="0"/>
        <v>170</v>
      </c>
    </row>
    <row r="32" spans="1:6" x14ac:dyDescent="0.2">
      <c r="A32">
        <f>A31+'Inputs &amp; Outputs'!$B$6</f>
        <v>0.75398223686155019</v>
      </c>
      <c r="B32">
        <f>Calculations!$A$3*SIN(SQRT('Inputs &amp; Outputs'!$B$4/'Inputs &amp; Outputs'!$B$5)*A32+Calculations!$A$7)</f>
        <v>4.804549393253926</v>
      </c>
      <c r="C32">
        <f>SQRT('Inputs &amp; Outputs'!$B$4/'Inputs &amp; Outputs'!$B$5)*Calculations!$A$3*COS(SQRT('Inputs &amp; Outputs'!$B$4/'Inputs &amp; Outputs'!$B$5)*A32+Calculations!$A$7)</f>
        <v>3.3509813908683279</v>
      </c>
      <c r="D32">
        <f>1/2*'Inputs &amp; Outputs'!$B$5*'Analytical Steps'!C32^2</f>
        <v>112.29076281945834</v>
      </c>
      <c r="E32">
        <f>1/2*'Inputs &amp; Outputs'!$B$4*'Analytical Steps'!B32^2</f>
        <v>57.70923718054167</v>
      </c>
      <c r="F32">
        <f t="shared" si="0"/>
        <v>170</v>
      </c>
    </row>
    <row r="33" spans="1:6" x14ac:dyDescent="0.2">
      <c r="A33">
        <f>A32+'Inputs &amp; Outputs'!$B$6</f>
        <v>0.77911497809026853</v>
      </c>
      <c r="B33">
        <f>Calculations!$A$3*SIN(SQRT('Inputs &amp; Outputs'!$B$4/'Inputs &amp; Outputs'!$B$5)*A33+Calculations!$A$7)</f>
        <v>4.8883871778433239</v>
      </c>
      <c r="C33">
        <f>SQRT('Inputs &amp; Outputs'!$B$4/'Inputs &amp; Outputs'!$B$5)*Calculations!$A$3*COS(SQRT('Inputs &amp; Outputs'!$B$4/'Inputs &amp; Outputs'!$B$5)*A33+Calculations!$A$7)</f>
        <v>3.3205297318160318</v>
      </c>
      <c r="D33">
        <f>1/2*'Inputs &amp; Outputs'!$B$5*'Analytical Steps'!C33^2</f>
        <v>110.25917699874249</v>
      </c>
      <c r="E33">
        <f>1/2*'Inputs &amp; Outputs'!$B$4*'Analytical Steps'!B33^2</f>
        <v>59.740823001257546</v>
      </c>
      <c r="F33">
        <f t="shared" si="0"/>
        <v>170.00000000000003</v>
      </c>
    </row>
    <row r="34" spans="1:6" x14ac:dyDescent="0.2">
      <c r="A34">
        <f>A33+'Inputs &amp; Outputs'!$B$6</f>
        <v>0.80424771931898686</v>
      </c>
      <c r="B34">
        <f>Calculations!$A$3*SIN(SQRT('Inputs &amp; Outputs'!$B$4/'Inputs &amp; Outputs'!$B$5)*A34+Calculations!$A$7)</f>
        <v>4.9714530294293588</v>
      </c>
      <c r="C34">
        <f>SQRT('Inputs &amp; Outputs'!$B$4/'Inputs &amp; Outputs'!$B$5)*Calculations!$A$3*COS(SQRT('Inputs &amp; Outputs'!$B$4/'Inputs &amp; Outputs'!$B$5)*A34+Calculations!$A$7)</f>
        <v>3.2895537226262794</v>
      </c>
      <c r="D34">
        <f>1/2*'Inputs &amp; Outputs'!$B$5*'Analytical Steps'!C34^2</f>
        <v>108.21163694044414</v>
      </c>
      <c r="E34">
        <f>1/2*'Inputs &amp; Outputs'!$B$4*'Analytical Steps'!B34^2</f>
        <v>61.788363059555877</v>
      </c>
      <c r="F34">
        <f t="shared" si="0"/>
        <v>170</v>
      </c>
    </row>
    <row r="35" spans="1:6" x14ac:dyDescent="0.2">
      <c r="A35">
        <f>A34+'Inputs &amp; Outputs'!$B$6</f>
        <v>0.8293804605477052</v>
      </c>
      <c r="B35">
        <f>Calculations!$A$3*SIN(SQRT('Inputs &amp; Outputs'!$B$4/'Inputs &amp; Outputs'!$B$5)*A35+Calculations!$A$7)</f>
        <v>5.0537338309511357</v>
      </c>
      <c r="C35">
        <f>SQRT('Inputs &amp; Outputs'!$B$4/'Inputs &amp; Outputs'!$B$5)*Calculations!$A$3*COS(SQRT('Inputs &amp; Outputs'!$B$4/'Inputs &amp; Outputs'!$B$5)*A35+Calculations!$A$7)</f>
        <v>3.2580582547700083</v>
      </c>
      <c r="D35">
        <f>1/2*'Inputs &amp; Outputs'!$B$5*'Analytical Steps'!C35^2</f>
        <v>106.14943591474992</v>
      </c>
      <c r="E35">
        <f>1/2*'Inputs &amp; Outputs'!$B$4*'Analytical Steps'!B35^2</f>
        <v>63.850564085250106</v>
      </c>
      <c r="F35">
        <f t="shared" si="0"/>
        <v>170.00000000000003</v>
      </c>
    </row>
    <row r="36" spans="1:6" x14ac:dyDescent="0.2">
      <c r="A36">
        <f>A35+'Inputs &amp; Outputs'!$B$6</f>
        <v>0.85451320177642354</v>
      </c>
      <c r="B36">
        <f>Calculations!$A$3*SIN(SQRT('Inputs &amp; Outputs'!$B$4/'Inputs &amp; Outputs'!$B$5)*A36+Calculations!$A$7)</f>
        <v>5.1352165893162631</v>
      </c>
      <c r="C36">
        <f>SQRT('Inputs &amp; Outputs'!$B$4/'Inputs &amp; Outputs'!$B$5)*Calculations!$A$3*COS(SQRT('Inputs &amp; Outputs'!$B$4/'Inputs &amp; Outputs'!$B$5)*A36+Calculations!$A$7)</f>
        <v>3.2260483017466988</v>
      </c>
      <c r="D36">
        <f>1/2*'Inputs &amp; Outputs'!$B$5*'Analytical Steps'!C36^2</f>
        <v>104.07387645202759</v>
      </c>
      <c r="E36">
        <f>1/2*'Inputs &amp; Outputs'!$B$4*'Analytical Steps'!B36^2</f>
        <v>65.926123547972381</v>
      </c>
      <c r="F36">
        <f t="shared" si="0"/>
        <v>169.99999999999997</v>
      </c>
    </row>
    <row r="37" spans="1:6" x14ac:dyDescent="0.2">
      <c r="A37">
        <f>A36+'Inputs &amp; Outputs'!$B$6</f>
        <v>0.87964594300514187</v>
      </c>
      <c r="B37">
        <f>Calculations!$A$3*SIN(SQRT('Inputs &amp; Outputs'!$B$4/'Inputs &amp; Outputs'!$B$5)*A37+Calculations!$A$7)</f>
        <v>5.2158884374526195</v>
      </c>
      <c r="C37">
        <f>SQRT('Inputs &amp; Outputs'!$B$4/'Inputs &amp; Outputs'!$B$5)*Calculations!$A$3*COS(SQRT('Inputs &amp; Outputs'!$B$4/'Inputs &amp; Outputs'!$B$5)*A37+Calculations!$A$7)</f>
        <v>3.1935289182990059</v>
      </c>
      <c r="D37">
        <f>1/2*'Inputs &amp; Outputs'!$B$5*'Analytical Steps'!C37^2</f>
        <v>101.98626952012019</v>
      </c>
      <c r="E37">
        <f>1/2*'Inputs &amp; Outputs'!$B$4*'Analytical Steps'!B37^2</f>
        <v>68.013730479879825</v>
      </c>
      <c r="F37">
        <f t="shared" si="0"/>
        <v>170</v>
      </c>
    </row>
    <row r="38" spans="1:6" x14ac:dyDescent="0.2">
      <c r="A38">
        <f>A37+'Inputs &amp; Outputs'!$B$6</f>
        <v>0.90477868423386021</v>
      </c>
      <c r="B38">
        <f>Calculations!$A$3*SIN(SQRT('Inputs &amp; Outputs'!$B$4/'Inputs &amp; Outputs'!$B$5)*A38+Calculations!$A$7)</f>
        <v>5.2957366363402052</v>
      </c>
      <c r="C38">
        <f>SQRT('Inputs &amp; Outputs'!$B$4/'Inputs &amp; Outputs'!$B$5)*Calculations!$A$3*COS(SQRT('Inputs &amp; Outputs'!$B$4/'Inputs &amp; Outputs'!$B$5)*A38+Calculations!$A$7)</f>
        <v>3.1605052396145514</v>
      </c>
      <c r="D38">
        <f>1/2*'Inputs &amp; Outputs'!$B$5*'Analytical Steps'!C38^2</f>
        <v>99.887933696310327</v>
      </c>
      <c r="E38">
        <f>1/2*'Inputs &amp; Outputs'!$B$4*'Analytical Steps'!B38^2</f>
        <v>70.112066303689673</v>
      </c>
      <c r="F38">
        <f t="shared" si="0"/>
        <v>170</v>
      </c>
    </row>
    <row r="39" spans="1:6" x14ac:dyDescent="0.2">
      <c r="A39">
        <f>A38+'Inputs &amp; Outputs'!$B$6</f>
        <v>0.92991142546257854</v>
      </c>
      <c r="B39">
        <f>Calculations!$A$3*SIN(SQRT('Inputs &amp; Outputs'!$B$4/'Inputs &amp; Outputs'!$B$5)*A39+Calculations!$A$7)</f>
        <v>5.3747485770227845</v>
      </c>
      <c r="C39">
        <f>SQRT('Inputs &amp; Outputs'!$B$4/'Inputs &amp; Outputs'!$B$5)*Calculations!$A$3*COS(SQRT('Inputs &amp; Outputs'!$B$4/'Inputs &amp; Outputs'!$B$5)*A39+Calculations!$A$7)</f>
        <v>3.1269824805150233</v>
      </c>
      <c r="D39">
        <f>1/2*'Inputs &amp; Outputs'!$B$5*'Analytical Steps'!C39^2</f>
        <v>97.780194334478878</v>
      </c>
      <c r="E39">
        <f>1/2*'Inputs &amp; Outputs'!$B$4*'Analytical Steps'!B39^2</f>
        <v>72.219805665521122</v>
      </c>
      <c r="F39">
        <f t="shared" si="0"/>
        <v>170</v>
      </c>
    </row>
    <row r="40" spans="1:6" x14ac:dyDescent="0.2">
      <c r="A40">
        <f>A39+'Inputs &amp; Outputs'!$B$6</f>
        <v>0.95504416669129688</v>
      </c>
      <c r="B40">
        <f>Calculations!$A$3*SIN(SQRT('Inputs &amp; Outputs'!$B$4/'Inputs &amp; Outputs'!$B$5)*A40+Calculations!$A$7)</f>
        <v>5.4529117825989912</v>
      </c>
      <c r="C40">
        <f>SQRT('Inputs &amp; Outputs'!$B$4/'Inputs &amp; Outputs'!$B$5)*Calculations!$A$3*COS(SQRT('Inputs &amp; Outputs'!$B$4/'Inputs &amp; Outputs'!$B$5)*A40+Calculations!$A$7)</f>
        <v>3.0929659346326903</v>
      </c>
      <c r="D40">
        <f>1/2*'Inputs &amp; Outputs'!$B$5*'Analytical Steps'!C40^2</f>
        <v>95.664382727982712</v>
      </c>
      <c r="E40">
        <f>1/2*'Inputs &amp; Outputs'!$B$4*'Analytical Steps'!B40^2</f>
        <v>74.335617272017274</v>
      </c>
      <c r="F40">
        <f t="shared" si="0"/>
        <v>170</v>
      </c>
    </row>
    <row r="41" spans="1:6" x14ac:dyDescent="0.2">
      <c r="A41">
        <f>A40+'Inputs &amp; Outputs'!$B$6</f>
        <v>0.98017690792001522</v>
      </c>
      <c r="B41">
        <f>Calculations!$A$3*SIN(SQRT('Inputs &amp; Outputs'!$B$4/'Inputs &amp; Outputs'!$B$5)*A41+Calculations!$A$7)</f>
        <v>5.5302139101925656</v>
      </c>
      <c r="C41">
        <f>SQRT('Inputs &amp; Outputs'!$B$4/'Inputs &amp; Outputs'!$B$5)*Calculations!$A$3*COS(SQRT('Inputs &amp; Outputs'!$B$4/'Inputs &amp; Outputs'!$B$5)*A41+Calculations!$A$7)</f>
        <v>3.0584609735744812</v>
      </c>
      <c r="D41">
        <f>1/2*'Inputs &amp; Outputs'!$B$5*'Analytical Steps'!C41^2</f>
        <v>93.541835268781625</v>
      </c>
      <c r="E41">
        <f>1/2*'Inputs &amp; Outputs'!$B$4*'Analytical Steps'!B41^2</f>
        <v>76.458164731218375</v>
      </c>
      <c r="F41">
        <f t="shared" si="0"/>
        <v>170</v>
      </c>
    </row>
    <row r="42" spans="1:6" x14ac:dyDescent="0.2">
      <c r="A42">
        <f>A41+'Inputs &amp; Outputs'!$B$6</f>
        <v>1.0053096491487337</v>
      </c>
      <c r="B42">
        <f>Calculations!$A$3*SIN(SQRT('Inputs &amp; Outputs'!$B$4/'Inputs &amp; Outputs'!$B$5)*A42+Calculations!$A$7)</f>
        <v>5.6066427529014486</v>
      </c>
      <c r="C42">
        <f>SQRT('Inputs &amp; Outputs'!$B$4/'Inputs &amp; Outputs'!$B$5)*Calculations!$A$3*COS(SQRT('Inputs &amp; Outputs'!$B$4/'Inputs &amp; Outputs'!$B$5)*A42+Calculations!$A$7)</f>
        <v>3.0234730460737396</v>
      </c>
      <c r="D42">
        <f>1/2*'Inputs &amp; Outputs'!$B$5*'Analytical Steps'!C42^2</f>
        <v>91.413892603344181</v>
      </c>
      <c r="E42">
        <f>1/2*'Inputs &amp; Outputs'!$B$4*'Analytical Steps'!B42^2</f>
        <v>78.586107396655834</v>
      </c>
      <c r="F42">
        <f t="shared" si="0"/>
        <v>170</v>
      </c>
    </row>
    <row r="43" spans="1:6" x14ac:dyDescent="0.2">
      <c r="A43">
        <f>A42+'Inputs &amp; Outputs'!$B$6</f>
        <v>1.030442390377452</v>
      </c>
      <c r="B43">
        <f>Calculations!$A$3*SIN(SQRT('Inputs &amp; Outputs'!$B$4/'Inputs &amp; Outputs'!$B$5)*A43+Calculations!$A$7)</f>
        <v>5.6821862417253834</v>
      </c>
      <c r="C43">
        <f>SQRT('Inputs &amp; Outputs'!$B$4/'Inputs &amp; Outputs'!$B$5)*Calculations!$A$3*COS(SQRT('Inputs &amp; Outputs'!$B$4/'Inputs &amp; Outputs'!$B$5)*A43+Calculations!$A$7)</f>
        <v>2.9880076771298114</v>
      </c>
      <c r="D43">
        <f>1/2*'Inputs &amp; Outputs'!$B$5*'Analytical Steps'!C43^2</f>
        <v>89.281898785866915</v>
      </c>
      <c r="E43">
        <f>1/2*'Inputs &amp; Outputs'!$B$4*'Analytical Steps'!B43^2</f>
        <v>80.718101214133085</v>
      </c>
      <c r="F43">
        <f t="shared" si="0"/>
        <v>170</v>
      </c>
    </row>
    <row r="44" spans="1:6" x14ac:dyDescent="0.2">
      <c r="A44">
        <f>A43+'Inputs &amp; Outputs'!$B$6</f>
        <v>1.0555751316061703</v>
      </c>
      <c r="B44">
        <f>Calculations!$A$3*SIN(SQRT('Inputs &amp; Outputs'!$B$4/'Inputs &amp; Outputs'!$B$5)*A44+Calculations!$A$7)</f>
        <v>5.7568324474717567</v>
      </c>
      <c r="C44">
        <f>SQRT('Inputs &amp; Outputs'!$B$4/'Inputs &amp; Outputs'!$B$5)*Calculations!$A$3*COS(SQRT('Inputs &amp; Outputs'!$B$4/'Inputs &amp; Outputs'!$B$5)*A44+Calculations!$A$7)</f>
        <v>2.9520704671355809</v>
      </c>
      <c r="D44">
        <f>1/2*'Inputs &amp; Outputs'!$B$5*'Analytical Steps'!C44^2</f>
        <v>87.14720042934087</v>
      </c>
      <c r="E44">
        <f>1/2*'Inputs &amp; Outputs'!$B$4*'Analytical Steps'!B44^2</f>
        <v>82.85279957065913</v>
      </c>
      <c r="F44">
        <f t="shared" si="0"/>
        <v>170</v>
      </c>
    </row>
    <row r="45" spans="1:6" x14ac:dyDescent="0.2">
      <c r="A45">
        <f>A44+'Inputs &amp; Outputs'!$B$6</f>
        <v>1.0807078728348887</v>
      </c>
      <c r="B45">
        <f>Calculations!$A$3*SIN(SQRT('Inputs &amp; Outputs'!$B$4/'Inputs &amp; Outputs'!$B$5)*A45+Calculations!$A$7)</f>
        <v>5.8305695826393551</v>
      </c>
      <c r="C45">
        <f>SQRT('Inputs &amp; Outputs'!$B$4/'Inputs &amp; Outputs'!$B$5)*Calculations!$A$3*COS(SQRT('Inputs &amp; Outputs'!$B$4/'Inputs &amp; Outputs'!$B$5)*A45+Calculations!$A$7)</f>
        <v>2.9156670909931028</v>
      </c>
      <c r="D45">
        <f>1/2*'Inputs &amp; Outputs'!$B$5*'Analytical Steps'!C45^2</f>
        <v>85.011145855001828</v>
      </c>
      <c r="E45">
        <f>1/2*'Inputs &amp; Outputs'!$B$4*'Analytical Steps'!B45^2</f>
        <v>84.988854144998157</v>
      </c>
      <c r="F45">
        <f t="shared" si="0"/>
        <v>170</v>
      </c>
    </row>
    <row r="46" spans="1:6" x14ac:dyDescent="0.2">
      <c r="A46">
        <f>A45+'Inputs &amp; Outputs'!$B$6</f>
        <v>1.105840614063607</v>
      </c>
      <c r="B46">
        <f>Calculations!$A$3*SIN(SQRT('Inputs &amp; Outputs'!$B$4/'Inputs &amp; Outputs'!$B$5)*A46+Calculations!$A$7)</f>
        <v>5.9033860032797492</v>
      </c>
      <c r="C46">
        <f>SQRT('Inputs &amp; Outputs'!$B$4/'Inputs &amp; Outputs'!$B$5)*Calculations!$A$3*COS(SQRT('Inputs &amp; Outputs'!$B$4/'Inputs &amp; Outputs'!$B$5)*A46+Calculations!$A$7)</f>
        <v>2.8788032972174724</v>
      </c>
      <c r="D46">
        <f>1/2*'Inputs &amp; Outputs'!$B$5*'Analytical Steps'!C46^2</f>
        <v>82.875084240701909</v>
      </c>
      <c r="E46">
        <f>1/2*'Inputs &amp; Outputs'!$B$4*'Analytical Steps'!B46^2</f>
        <v>87.124915759298119</v>
      </c>
      <c r="F46">
        <f t="shared" si="0"/>
        <v>170.00000000000003</v>
      </c>
    </row>
    <row r="47" spans="1:6" x14ac:dyDescent="0.2">
      <c r="A47">
        <f>A46+'Inputs &amp; Outputs'!$B$6</f>
        <v>1.1309733552923253</v>
      </c>
      <c r="B47">
        <f>Calculations!$A$3*SIN(SQRT('Inputs &amp; Outputs'!$B$4/'Inputs &amp; Outputs'!$B$5)*A47+Calculations!$A$7)</f>
        <v>5.975270210836003</v>
      </c>
      <c r="C47">
        <f>SQRT('Inputs &amp; Outputs'!$B$4/'Inputs &amp; Outputs'!$B$5)*Calculations!$A$3*COS(SQRT('Inputs &amp; Outputs'!$B$4/'Inputs &amp; Outputs'!$B$5)*A47+Calculations!$A$7)</f>
        <v>2.8414849070290642</v>
      </c>
      <c r="D47">
        <f>1/2*'Inputs &amp; Outputs'!$B$5*'Analytical Steps'!C47^2</f>
        <v>80.740364768739695</v>
      </c>
      <c r="E47">
        <f>1/2*'Inputs &amp; Outputs'!$B$4*'Analytical Steps'!B47^2</f>
        <v>89.259635231260319</v>
      </c>
      <c r="F47">
        <f t="shared" si="0"/>
        <v>170</v>
      </c>
    </row>
    <row r="48" spans="1:6" x14ac:dyDescent="0.2">
      <c r="A48">
        <f>A47+'Inputs &amp; Outputs'!$B$6</f>
        <v>1.1561060965210437</v>
      </c>
      <c r="B48">
        <f>Calculations!$A$3*SIN(SQRT('Inputs &amp; Outputs'!$B$4/'Inputs &amp; Outputs'!$B$5)*A48+Calculations!$A$7)</f>
        <v>6.0462108539584349</v>
      </c>
      <c r="C48">
        <f>SQRT('Inputs &amp; Outputs'!$B$4/'Inputs &amp; Outputs'!$B$5)*Calculations!$A$3*COS(SQRT('Inputs &amp; Outputs'!$B$4/'Inputs &amp; Outputs'!$B$5)*A48+Calculations!$A$7)</f>
        <v>2.8037178134342984</v>
      </c>
      <c r="D48">
        <f>1/2*'Inputs &amp; Outputs'!$B$5*'Analytical Steps'!C48^2</f>
        <v>78.608335773688026</v>
      </c>
      <c r="E48">
        <f>1/2*'Inputs &amp; Outputs'!$B$4*'Analytical Steps'!B48^2</f>
        <v>91.391664226311974</v>
      </c>
      <c r="F48">
        <f t="shared" si="0"/>
        <v>170</v>
      </c>
    </row>
    <row r="49" spans="1:6" x14ac:dyDescent="0.2">
      <c r="A49">
        <f>A48+'Inputs &amp; Outputs'!$B$6</f>
        <v>1.181238837749762</v>
      </c>
      <c r="B49">
        <f>Calculations!$A$3*SIN(SQRT('Inputs &amp; Outputs'!$B$4/'Inputs &amp; Outputs'!$B$5)*A49+Calculations!$A$7)</f>
        <v>6.1161967302971281</v>
      </c>
      <c r="C49">
        <f>SQRT('Inputs &amp; Outputs'!$B$4/'Inputs &amp; Outputs'!$B$5)*Calculations!$A$3*COS(SQRT('Inputs &amp; Outputs'!$B$4/'Inputs &amp; Outputs'!$B$5)*A49+Calculations!$A$7)</f>
        <v>2.7655079802950633</v>
      </c>
      <c r="D49">
        <f>1/2*'Inputs &amp; Outputs'!$B$5*'Analytical Steps'!C49^2</f>
        <v>76.480343890756799</v>
      </c>
      <c r="E49">
        <f>1/2*'Inputs &amp; Outputs'!$B$4*'Analytical Steps'!B49^2</f>
        <v>93.519656109243215</v>
      </c>
      <c r="F49">
        <f t="shared" si="0"/>
        <v>170</v>
      </c>
    </row>
    <row r="50" spans="1:6" x14ac:dyDescent="0.2">
      <c r="A50">
        <f>A49+'Inputs &amp; Outputs'!$B$6</f>
        <v>1.2063715789784804</v>
      </c>
      <c r="B50">
        <f>Calculations!$A$3*SIN(SQRT('Inputs &amp; Outputs'!$B$4/'Inputs &amp; Outputs'!$B$5)*A50+Calculations!$A$7)</f>
        <v>6.1852167882709059</v>
      </c>
      <c r="C50">
        <f>SQRT('Inputs &amp; Outputs'!$B$4/'Inputs &amp; Outputs'!$B$5)*Calculations!$A$3*COS(SQRT('Inputs &amp; Outputs'!$B$4/'Inputs &amp; Outputs'!$B$5)*A50+Calculations!$A$7)</f>
        <v>2.7268614413869536</v>
      </c>
      <c r="D50">
        <f>1/2*'Inputs &amp; Outputs'!$B$5*'Analytical Steps'!C50^2</f>
        <v>74.357733205229351</v>
      </c>
      <c r="E50">
        <f>1/2*'Inputs &amp; Outputs'!$B$4*'Analytical Steps'!B50^2</f>
        <v>95.642266794770649</v>
      </c>
      <c r="F50">
        <f t="shared" si="0"/>
        <v>170</v>
      </c>
    </row>
    <row r="51" spans="1:6" x14ac:dyDescent="0.2">
      <c r="A51">
        <f>A50+'Inputs &amp; Outputs'!$B$6</f>
        <v>1.2315043202071987</v>
      </c>
      <c r="B51">
        <f>Calculations!$A$3*SIN(SQRT('Inputs &amp; Outputs'!$B$4/'Inputs &amp; Outputs'!$B$5)*A51+Calculations!$A$7)</f>
        <v>6.2532601288125074</v>
      </c>
      <c r="C51">
        <f>SQRT('Inputs &amp; Outputs'!$B$4/'Inputs &amp; Outputs'!$B$5)*Calculations!$A$3*COS(SQRT('Inputs &amp; Outputs'!$B$4/'Inputs &amp; Outputs'!$B$5)*A51+Calculations!$A$7)</f>
        <v>2.6877842994464687</v>
      </c>
      <c r="D51">
        <f>1/2*'Inputs &amp; Outputs'!$B$5*'Analytical Steps'!C51^2</f>
        <v>72.241844403509447</v>
      </c>
      <c r="E51">
        <f>1/2*'Inputs &amp; Outputs'!$B$4*'Analytical Steps'!B51^2</f>
        <v>97.758155596490539</v>
      </c>
      <c r="F51">
        <f t="shared" si="0"/>
        <v>170</v>
      </c>
    </row>
    <row r="52" spans="1:6" x14ac:dyDescent="0.2">
      <c r="A52">
        <f>A51+'Inputs &amp; Outputs'!$B$6</f>
        <v>1.256637061435917</v>
      </c>
      <c r="B52">
        <f>Calculations!$A$3*SIN(SQRT('Inputs &amp; Outputs'!$B$4/'Inputs &amp; Outputs'!$B$5)*A52+Calculations!$A$7)</f>
        <v>6.3203160070896791</v>
      </c>
      <c r="C52">
        <f>SQRT('Inputs &amp; Outputs'!$B$4/'Inputs &amp; Outputs'!$B$5)*Calculations!$A$3*COS(SQRT('Inputs &amp; Outputs'!$B$4/'Inputs &amp; Outputs'!$B$5)*A52+Calculations!$A$7)</f>
        <v>2.6482827252073169</v>
      </c>
      <c r="D52">
        <f>1/2*'Inputs &amp; Outputs'!$B$5*'Analytical Steps'!C52^2</f>
        <v>70.134013926314935</v>
      </c>
      <c r="E52">
        <f>1/2*'Inputs &amp; Outputs'!$B$4*'Analytical Steps'!B52^2</f>
        <v>99.865986073685065</v>
      </c>
      <c r="F52">
        <f t="shared" si="0"/>
        <v>170</v>
      </c>
    </row>
    <row r="53" spans="1:6" x14ac:dyDescent="0.2">
      <c r="A53">
        <f>A52+'Inputs &amp; Outputs'!$B$6</f>
        <v>1.2817698026646354</v>
      </c>
      <c r="B53">
        <f>Calculations!$A$3*SIN(SQRT('Inputs &amp; Outputs'!$B$4/'Inputs &amp; Outputs'!$B$5)*A53+Calculations!$A$7)</f>
        <v>6.3863738342019039</v>
      </c>
      <c r="C53">
        <f>SQRT('Inputs &amp; Outputs'!$B$4/'Inputs &amp; Outputs'!$B$5)*Calculations!$A$3*COS(SQRT('Inputs &amp; Outputs'!$B$4/'Inputs &amp; Outputs'!$B$5)*A53+Calculations!$A$7)</f>
        <v>2.6083629564259878</v>
      </c>
      <c r="D53">
        <f>1/2*'Inputs &amp; Outputs'!$B$5*'Analytical Steps'!C53^2</f>
        <v>68.035573124553196</v>
      </c>
      <c r="E53">
        <f>1/2*'Inputs &amp; Outputs'!$B$4*'Analytical Steps'!B53^2</f>
        <v>101.96442687544682</v>
      </c>
      <c r="F53">
        <f t="shared" si="0"/>
        <v>170</v>
      </c>
    </row>
    <row r="54" spans="1:6" x14ac:dyDescent="0.2">
      <c r="A54">
        <f>A53+'Inputs &amp; Outputs'!$B$6</f>
        <v>1.3069025438933537</v>
      </c>
      <c r="B54">
        <f>Calculations!$A$3*SIN(SQRT('Inputs &amp; Outputs'!$B$4/'Inputs &amp; Outputs'!$B$5)*A54+Calculations!$A$7)</f>
        <v>6.4514231788525125</v>
      </c>
      <c r="C54">
        <f>SQRT('Inputs &amp; Outputs'!$B$4/'Inputs &amp; Outputs'!$B$5)*Calculations!$A$3*COS(SQRT('Inputs &amp; Outputs'!$B$4/'Inputs &amp; Outputs'!$B$5)*A54+Calculations!$A$7)</f>
        <v>2.5680312968967365</v>
      </c>
      <c r="D54">
        <f>1/2*'Inputs &amp; Outputs'!$B$5*'Analytical Steps'!C54^2</f>
        <v>65.947847418411342</v>
      </c>
      <c r="E54">
        <f>1/2*'Inputs &amp; Outputs'!$B$4*'Analytical Steps'!B54^2</f>
        <v>104.05215258158864</v>
      </c>
      <c r="F54">
        <f t="shared" si="0"/>
        <v>170</v>
      </c>
    </row>
    <row r="55" spans="1:6" x14ac:dyDescent="0.2">
      <c r="A55">
        <f>A54+'Inputs &amp; Outputs'!$B$6</f>
        <v>1.332035285122072</v>
      </c>
      <c r="B55">
        <f>Calculations!$A$3*SIN(SQRT('Inputs &amp; Outputs'!$B$4/'Inputs &amp; Outputs'!$B$5)*A55+Calculations!$A$7)</f>
        <v>6.5154537689959122</v>
      </c>
      <c r="C55">
        <f>SQRT('Inputs &amp; Outputs'!$B$4/'Inputs &amp; Outputs'!$B$5)*Calculations!$A$3*COS(SQRT('Inputs &amp; Outputs'!$B$4/'Inputs &amp; Outputs'!$B$5)*A55+Calculations!$A$7)</f>
        <v>2.5272941154561415</v>
      </c>
      <c r="D55">
        <f>1/2*'Inputs &amp; Outputs'!$B$5*'Analytical Steps'!C55^2</f>
        <v>63.87215546019241</v>
      </c>
      <c r="E55">
        <f>1/2*'Inputs &amp; Outputs'!$B$4*'Analytical Steps'!B55^2</f>
        <v>106.1278445398076</v>
      </c>
      <c r="F55">
        <f t="shared" si="0"/>
        <v>170</v>
      </c>
    </row>
    <row r="56" spans="1:6" x14ac:dyDescent="0.2">
      <c r="A56">
        <f>A55+'Inputs &amp; Outputs'!$B$6</f>
        <v>1.3571680263507904</v>
      </c>
      <c r="B56">
        <f>Calculations!$A$3*SIN(SQRT('Inputs &amp; Outputs'!$B$4/'Inputs &amp; Outputs'!$B$5)*A56+Calculations!$A$7)</f>
        <v>6.57845549345965</v>
      </c>
      <c r="C56">
        <f>SQRT('Inputs &amp; Outputs'!$B$4/'Inputs &amp; Outputs'!$B$5)*Calculations!$A$3*COS(SQRT('Inputs &amp; Outputs'!$B$4/'Inputs &amp; Outputs'!$B$5)*A56+Calculations!$A$7)</f>
        <v>2.4861578449773942</v>
      </c>
      <c r="D56">
        <f>1/2*'Inputs &amp; Outputs'!$B$5*'Analytical Steps'!C56^2</f>
        <v>61.809808301426408</v>
      </c>
      <c r="E56">
        <f>1/2*'Inputs &amp; Outputs'!$B$4*'Analytical Steps'!B56^2</f>
        <v>108.19019169857361</v>
      </c>
      <c r="F56">
        <f t="shared" si="0"/>
        <v>170.00000000000003</v>
      </c>
    </row>
    <row r="57" spans="1:6" x14ac:dyDescent="0.2">
      <c r="A57">
        <f>A56+'Inputs &amp; Outputs'!$B$6</f>
        <v>1.3823007675795087</v>
      </c>
      <c r="B57">
        <f>Calculations!$A$3*SIN(SQRT('Inputs &amp; Outputs'!$B$4/'Inputs &amp; Outputs'!$B$5)*A57+Calculations!$A$7)</f>
        <v>6.6404184035410951</v>
      </c>
      <c r="C57">
        <f>SQRT('Inputs &amp; Outputs'!$B$4/'Inputs &amp; Outputs'!$B$5)*Calculations!$A$3*COS(SQRT('Inputs &amp; Outputs'!$B$4/'Inputs &amp; Outputs'!$B$5)*A57+Calculations!$A$7)</f>
        <v>2.4446289813544677</v>
      </c>
      <c r="D57">
        <f>1/2*'Inputs &amp; Outputs'!$B$5*'Analytical Steps'!C57^2</f>
        <v>59.762108564781826</v>
      </c>
      <c r="E57">
        <f>1/2*'Inputs &amp; Outputs'!$B$4*'Analytical Steps'!B57^2</f>
        <v>110.23789143521817</v>
      </c>
      <c r="F57">
        <f t="shared" si="0"/>
        <v>170</v>
      </c>
    </row>
    <row r="58" spans="1:6" x14ac:dyDescent="0.2">
      <c r="A58">
        <f>A57+'Inputs &amp; Outputs'!$B$6</f>
        <v>1.407433508808227</v>
      </c>
      <c r="B58">
        <f>Calculations!$A$3*SIN(SQRT('Inputs &amp; Outputs'!$B$4/'Inputs &amp; Outputs'!$B$5)*A58+Calculations!$A$7)</f>
        <v>6.7013327145784496</v>
      </c>
      <c r="C58">
        <f>SQRT('Inputs &amp; Outputs'!$B$4/'Inputs &amp; Outputs'!$B$5)*Calculations!$A$3*COS(SQRT('Inputs &amp; Outputs'!$B$4/'Inputs &amp; Outputs'!$B$5)*A58+Calculations!$A$7)</f>
        <v>2.4027140824763475</v>
      </c>
      <c r="D58">
        <f>1/2*'Inputs &amp; Outputs'!$B$5*'Analytical Steps'!C58^2</f>
        <v>57.730349621301571</v>
      </c>
      <c r="E58">
        <f>1/2*'Inputs &amp; Outputs'!$B$4*'Analytical Steps'!B58^2</f>
        <v>112.26965037869843</v>
      </c>
      <c r="F58">
        <f t="shared" si="0"/>
        <v>170</v>
      </c>
    </row>
    <row r="59" spans="1:6" x14ac:dyDescent="0.2">
      <c r="A59">
        <f>A58+'Inputs &amp; Outputs'!$B$6</f>
        <v>1.4325662500369454</v>
      </c>
      <c r="B59">
        <f>Calculations!$A$3*SIN(SQRT('Inputs &amp; Outputs'!$B$4/'Inputs &amp; Outputs'!$B$5)*A59+Calculations!$A$7)</f>
        <v>6.7611888074958584</v>
      </c>
      <c r="C59">
        <f>SQRT('Inputs &amp; Outputs'!$B$4/'Inputs &amp; Outputs'!$B$5)*Calculations!$A$3*COS(SQRT('Inputs &amp; Outputs'!$B$4/'Inputs &amp; Outputs'!$B$5)*A59+Calculations!$A$7)</f>
        <v>2.3604197671914595</v>
      </c>
      <c r="D59">
        <f>1/2*'Inputs &amp; Outputs'!$B$5*'Analytical Steps'!C59^2</f>
        <v>55.715814773481839</v>
      </c>
      <c r="E59">
        <f>1/2*'Inputs &amp; Outputs'!$B$4*'Analytical Steps'!B59^2</f>
        <v>114.28418522651818</v>
      </c>
      <c r="F59">
        <f t="shared" si="0"/>
        <v>170</v>
      </c>
    </row>
    <row r="60" spans="1:6" x14ac:dyDescent="0.2">
      <c r="A60">
        <f>A59+'Inputs &amp; Outputs'!$B$6</f>
        <v>1.4576989912656637</v>
      </c>
      <c r="B60">
        <f>Calculations!$A$3*SIN(SQRT('Inputs &amp; Outputs'!$B$4/'Inputs &amp; Outputs'!$B$5)*A60+Calculations!$A$7)</f>
        <v>6.819977230322376</v>
      </c>
      <c r="C60">
        <f>SQRT('Inputs &amp; Outputs'!$B$4/'Inputs &amp; Outputs'!$B$5)*Calculations!$A$3*COS(SQRT('Inputs &amp; Outputs'!$B$4/'Inputs &amp; Outputs'!$B$5)*A60+Calculations!$A$7)</f>
        <v>2.3177527142624776</v>
      </c>
      <c r="D60">
        <f>1/2*'Inputs &amp; Outputs'!$B$5*'Analytical Steps'!C60^2</f>
        <v>53.719776444710817</v>
      </c>
      <c r="E60">
        <f>1/2*'Inputs &amp; Outputs'!$B$4*'Analytical Steps'!B60^2</f>
        <v>116.28022355528915</v>
      </c>
      <c r="F60">
        <f t="shared" si="0"/>
        <v>169.99999999999997</v>
      </c>
    </row>
    <row r="61" spans="1:6" x14ac:dyDescent="0.2">
      <c r="A61">
        <f>A60+'Inputs &amp; Outputs'!$B$6</f>
        <v>1.482831732494382</v>
      </c>
      <c r="B61">
        <f>Calculations!$A$3*SIN(SQRT('Inputs &amp; Outputs'!$B$4/'Inputs &amp; Outputs'!$B$5)*A61+Calculations!$A$7)</f>
        <v>6.8776886996845423</v>
      </c>
      <c r="C61">
        <f>SQRT('Inputs &amp; Outputs'!$B$4/'Inputs &amp; Outputs'!$B$5)*Calculations!$A$3*COS(SQRT('Inputs &amp; Outputs'!$B$4/'Inputs &amp; Outputs'!$B$5)*A61+Calculations!$A$7)</f>
        <v>2.2747196613116718</v>
      </c>
      <c r="D61">
        <f>1/2*'Inputs &amp; Outputs'!$B$5*'Analytical Steps'!C61^2</f>
        <v>51.743495375578867</v>
      </c>
      <c r="E61">
        <f>1/2*'Inputs &amp; Outputs'!$B$4*'Analytical Steps'!B61^2</f>
        <v>118.25650462442113</v>
      </c>
      <c r="F61">
        <f t="shared" si="0"/>
        <v>170</v>
      </c>
    </row>
    <row r="62" spans="1:6" x14ac:dyDescent="0.2">
      <c r="A62">
        <f>A61+'Inputs &amp; Outputs'!$B$6</f>
        <v>1.5079644737231004</v>
      </c>
      <c r="B62">
        <f>Calculations!$A$3*SIN(SQRT('Inputs &amp; Outputs'!$B$4/'Inputs &amp; Outputs'!$B$5)*A62+Calculations!$A$7)</f>
        <v>6.9343141022723316</v>
      </c>
      <c r="C62">
        <f>SQRT('Inputs &amp; Outputs'!$B$4/'Inputs &amp; Outputs'!$B$5)*Calculations!$A$3*COS(SQRT('Inputs &amp; Outputs'!$B$4/'Inputs &amp; Outputs'!$B$5)*A62+Calculations!$A$7)</f>
        <v>2.2313274037569584</v>
      </c>
      <c r="D62">
        <f>1/2*'Inputs &amp; Outputs'!$B$5*'Analytical Steps'!C62^2</f>
        <v>49.788219827567687</v>
      </c>
      <c r="E62">
        <f>1/2*'Inputs &amp; Outputs'!$B$4*'Analytical Steps'!B62^2</f>
        <v>120.21178017243233</v>
      </c>
      <c r="F62">
        <f t="shared" si="0"/>
        <v>170</v>
      </c>
    </row>
    <row r="63" spans="1:6" x14ac:dyDescent="0.2">
      <c r="A63">
        <f>A62+'Inputs &amp; Outputs'!$B$6</f>
        <v>1.5330972149518187</v>
      </c>
      <c r="B63">
        <f>Calculations!$A$3*SIN(SQRT('Inputs &amp; Outputs'!$B$4/'Inputs &amp; Outputs'!$B$5)*A63+Calculations!$A$7)</f>
        <v>6.9898444962782529</v>
      </c>
      <c r="C63">
        <f>SQRT('Inputs &amp; Outputs'!$B$4/'Inputs &amp; Outputs'!$B$5)*Calculations!$A$3*COS(SQRT('Inputs &amp; Outputs'!$B$4/'Inputs &amp; Outputs'!$B$5)*A63+Calculations!$A$7)</f>
        <v>2.187582793738823</v>
      </c>
      <c r="D63">
        <f>1/2*'Inputs &amp; Outputs'!$B$5*'Analytical Steps'!C63^2</f>
        <v>47.855184794621543</v>
      </c>
      <c r="E63">
        <f>1/2*'Inputs &amp; Outputs'!$B$4*'Analytical Steps'!B63^2</f>
        <v>122.14481520537845</v>
      </c>
      <c r="F63">
        <f t="shared" si="0"/>
        <v>170</v>
      </c>
    </row>
    <row r="64" spans="1:6" x14ac:dyDescent="0.2">
      <c r="A64">
        <f>A63+'Inputs &amp; Outputs'!$B$6</f>
        <v>1.5582299561805371</v>
      </c>
      <c r="B64">
        <f>Calculations!$A$3*SIN(SQRT('Inputs &amp; Outputs'!$B$4/'Inputs &amp; Outputs'!$B$5)*A64+Calculations!$A$7)</f>
        <v>7.0442711128093629</v>
      </c>
      <c r="C64">
        <f>SQRT('Inputs &amp; Outputs'!$B$4/'Inputs &amp; Outputs'!$B$5)*Calculations!$A$3*COS(SQRT('Inputs &amp; Outputs'!$B$4/'Inputs &amp; Outputs'!$B$5)*A64+Calculations!$A$7)</f>
        <v>2.143492739038293</v>
      </c>
      <c r="D64">
        <f>1/2*'Inputs &amp; Outputs'!$B$5*'Analytical Steps'!C64^2</f>
        <v>45.945611223098837</v>
      </c>
      <c r="E64">
        <f>1/2*'Inputs &amp; Outputs'!$B$4*'Analytical Steps'!B64^2</f>
        <v>124.05438877690115</v>
      </c>
      <c r="F64">
        <f t="shared" si="0"/>
        <v>170</v>
      </c>
    </row>
    <row r="65" spans="1:6" x14ac:dyDescent="0.2">
      <c r="A65">
        <f>A64+'Inputs &amp; Outputs'!$B$6</f>
        <v>1.5833626974092554</v>
      </c>
      <c r="B65">
        <f>Calculations!$A$3*SIN(SQRT('Inputs &amp; Outputs'!$B$4/'Inputs &amp; Outputs'!$B$5)*A65+Calculations!$A$7)</f>
        <v>7.0975853572719796</v>
      </c>
      <c r="C65">
        <f>SQRT('Inputs &amp; Outputs'!$B$4/'Inputs &amp; Outputs'!$B$5)*Calculations!$A$3*COS(SQRT('Inputs &amp; Outputs'!$B$4/'Inputs &amp; Outputs'!$B$5)*A65+Calculations!$A$7)</f>
        <v>2.0990642019861125</v>
      </c>
      <c r="D65">
        <f>1/2*'Inputs &amp; Outputs'!$B$5*'Analytical Steps'!C65^2</f>
        <v>44.060705240595951</v>
      </c>
      <c r="E65">
        <f>1/2*'Inputs &amp; Outputs'!$B$4*'Analytical Steps'!B65^2</f>
        <v>125.93929475940402</v>
      </c>
      <c r="F65">
        <f t="shared" si="0"/>
        <v>169.99999999999997</v>
      </c>
    </row>
    <row r="66" spans="1:6" x14ac:dyDescent="0.2">
      <c r="A66">
        <f>A65+'Inputs &amp; Outputs'!$B$6</f>
        <v>1.6084954386379737</v>
      </c>
      <c r="B66">
        <f>Calculations!$A$3*SIN(SQRT('Inputs &amp; Outputs'!$B$4/'Inputs &amp; Outputs'!$B$5)*A66+Calculations!$A$7)</f>
        <v>7.149778810728864</v>
      </c>
      <c r="C66">
        <f>SQRT('Inputs &amp; Outputs'!$B$4/'Inputs &amp; Outputs'!$B$5)*Calculations!$A$3*COS(SQRT('Inputs &amp; Outputs'!$B$4/'Inputs &amp; Outputs'!$B$5)*A66+Calculations!$A$7)</f>
        <v>2.0543041983633139</v>
      </c>
      <c r="D66">
        <f>1/2*'Inputs &amp; Outputs'!$B$5*'Analytical Steps'!C66^2</f>
        <v>42.201657394131374</v>
      </c>
      <c r="E66">
        <f>1/2*'Inputs &amp; Outputs'!$B$4*'Analytical Steps'!B66^2</f>
        <v>127.79834260586861</v>
      </c>
      <c r="F66">
        <f t="shared" si="0"/>
        <v>170</v>
      </c>
    </row>
    <row r="67" spans="1:6" x14ac:dyDescent="0.2">
      <c r="A67">
        <f>A66+'Inputs &amp; Outputs'!$B$6</f>
        <v>1.6336281798666921</v>
      </c>
      <c r="B67">
        <f>Calculations!$A$3*SIN(SQRT('Inputs &amp; Outputs'!$B$4/'Inputs &amp; Outputs'!$B$5)*A67+Calculations!$A$7)</f>
        <v>7.200843231228669</v>
      </c>
      <c r="C67">
        <f>SQRT('Inputs &amp; Outputs'!$B$4/'Inputs &amp; Outputs'!$B$5)*Calculations!$A$3*COS(SQRT('Inputs &amp; Outputs'!$B$4/'Inputs &amp; Outputs'!$B$5)*A67+Calculations!$A$7)</f>
        <v>2.0092197962933436</v>
      </c>
      <c r="D67">
        <f>1/2*'Inputs &amp; Outputs'!$B$5*'Analytical Steps'!C67^2</f>
        <v>40.369641898170656</v>
      </c>
      <c r="E67">
        <f>1/2*'Inputs &amp; Outputs'!$B$4*'Analytical Steps'!B67^2</f>
        <v>129.63035810182933</v>
      </c>
      <c r="F67">
        <f t="shared" ref="F67:F130" si="1">SUM(D67:E67)</f>
        <v>170</v>
      </c>
    </row>
    <row r="68" spans="1:6" x14ac:dyDescent="0.2">
      <c r="A68">
        <f>A67+'Inputs &amp; Outputs'!$B$6</f>
        <v>1.6587609210954104</v>
      </c>
      <c r="B68">
        <f>Calculations!$A$3*SIN(SQRT('Inputs &amp; Outputs'!$B$4/'Inputs &amp; Outputs'!$B$5)*A68+Calculations!$A$7)</f>
        <v>7.2507705551074393</v>
      </c>
      <c r="C68">
        <f>SQRT('Inputs &amp; Outputs'!$B$4/'Inputs &amp; Outputs'!$B$5)*Calculations!$A$3*COS(SQRT('Inputs &amp; Outputs'!$B$4/'Inputs &amp; Outputs'!$B$5)*A68+Calculations!$A$7)</f>
        <v>1.9638181151259246</v>
      </c>
      <c r="D68">
        <f>1/2*'Inputs &amp; Outputs'!$B$5*'Analytical Steps'!C68^2</f>
        <v>38.565815892967393</v>
      </c>
      <c r="E68">
        <f>1/2*'Inputs &amp; Outputs'!$B$4*'Analytical Steps'!B68^2</f>
        <v>131.43418410703259</v>
      </c>
      <c r="F68">
        <f t="shared" si="1"/>
        <v>170</v>
      </c>
    </row>
    <row r="69" spans="1:6" x14ac:dyDescent="0.2">
      <c r="A69">
        <f>A68+'Inputs &amp; Outputs'!$B$6</f>
        <v>1.6838936623241287</v>
      </c>
      <c r="B69">
        <f>Calculations!$A$3*SIN(SQRT('Inputs &amp; Outputs'!$B$4/'Inputs &amp; Outputs'!$B$5)*A69+Calculations!$A$7)</f>
        <v>7.2995528982619593</v>
      </c>
      <c r="C69">
        <f>SQRT('Inputs &amp; Outputs'!$B$4/'Inputs &amp; Outputs'!$B$5)*Calculations!$A$3*COS(SQRT('Inputs &amp; Outputs'!$B$4/'Inputs &amp; Outputs'!$B$5)*A69+Calculations!$A$7)</f>
        <v>1.9181063243128256</v>
      </c>
      <c r="D69">
        <f>1/2*'Inputs &amp; Outputs'!$B$5*'Analytical Steps'!C69^2</f>
        <v>36.791318713688582</v>
      </c>
      <c r="E69">
        <f>1/2*'Inputs &amp; Outputs'!$B$4*'Analytical Steps'!B69^2</f>
        <v>133.20868128631142</v>
      </c>
      <c r="F69">
        <f t="shared" si="1"/>
        <v>170</v>
      </c>
    </row>
    <row r="70" spans="1:6" x14ac:dyDescent="0.2">
      <c r="A70">
        <f>A69+'Inputs &amp; Outputs'!$B$6</f>
        <v>1.7090264035528471</v>
      </c>
      <c r="B70">
        <f>Calculations!$A$3*SIN(SQRT('Inputs &amp; Outputs'!$B$4/'Inputs &amp; Outputs'!$B$5)*A70+Calculations!$A$7)</f>
        <v>7.347182557394742</v>
      </c>
      <c r="C70">
        <f>SQRT('Inputs &amp; Outputs'!$B$4/'Inputs &amp; Outputs'!$B$5)*Calculations!$A$3*COS(SQRT('Inputs &amp; Outputs'!$B$4/'Inputs &amp; Outputs'!$B$5)*A70+Calculations!$A$7)</f>
        <v>1.872091642275723</v>
      </c>
      <c r="D70">
        <f>1/2*'Inputs &amp; Outputs'!$B$5*'Analytical Steps'!C70^2</f>
        <v>35.047271170786132</v>
      </c>
      <c r="E70">
        <f>1/2*'Inputs &amp; Outputs'!$B$4*'Analytical Steps'!B70^2</f>
        <v>134.95272882921387</v>
      </c>
      <c r="F70">
        <f t="shared" si="1"/>
        <v>170</v>
      </c>
    </row>
    <row r="71" spans="1:6" x14ac:dyDescent="0.2">
      <c r="A71">
        <f>A70+'Inputs &amp; Outputs'!$B$6</f>
        <v>1.7341591447815654</v>
      </c>
      <c r="B71">
        <f>Calculations!$A$3*SIN(SQRT('Inputs &amp; Outputs'!$B$4/'Inputs &amp; Outputs'!$B$5)*A71+Calculations!$A$7)</f>
        <v>7.3936520112304711</v>
      </c>
      <c r="C71">
        <f>SQRT('Inputs &amp; Outputs'!$B$4/'Inputs &amp; Outputs'!$B$5)*Calculations!$A$3*COS(SQRT('Inputs &amp; Outputs'!$B$4/'Inputs &amp; Outputs'!$B$5)*A71+Calculations!$A$7)</f>
        <v>1.8257813352663299</v>
      </c>
      <c r="D71">
        <f>1/2*'Inputs &amp; Outputs'!$B$5*'Analytical Steps'!C71^2</f>
        <v>33.334774842069024</v>
      </c>
      <c r="E71">
        <f>1/2*'Inputs &amp; Outputs'!$B$4*'Analytical Steps'!B71^2</f>
        <v>136.66522515793099</v>
      </c>
      <c r="F71">
        <f t="shared" si="1"/>
        <v>170</v>
      </c>
    </row>
    <row r="72" spans="1:6" x14ac:dyDescent="0.2">
      <c r="A72">
        <f>A71+'Inputs &amp; Outputs'!$B$6</f>
        <v>1.7592918860102837</v>
      </c>
      <c r="B72">
        <f>Calculations!$A$3*SIN(SQRT('Inputs &amp; Outputs'!$B$4/'Inputs &amp; Outputs'!$B$5)*A72+Calculations!$A$7)</f>
        <v>7.4389539217036926</v>
      </c>
      <c r="C72">
        <f>SQRT('Inputs &amp; Outputs'!$B$4/'Inputs &amp; Outputs'!$B$5)*Calculations!$A$3*COS(SQRT('Inputs &amp; Outputs'!$B$4/'Inputs &amp; Outputs'!$B$5)*A72+Calculations!$A$7)</f>
        <v>1.7791827162189706</v>
      </c>
      <c r="D72">
        <f>1/2*'Inputs &amp; Outputs'!$B$5*'Analytical Steps'!C72^2</f>
        <v>31.654911376923142</v>
      </c>
      <c r="E72">
        <f>1/2*'Inputs &amp; Outputs'!$B$4*'Analytical Steps'!B72^2</f>
        <v>138.34508862307689</v>
      </c>
      <c r="F72">
        <f t="shared" si="1"/>
        <v>170.00000000000003</v>
      </c>
    </row>
    <row r="73" spans="1:6" x14ac:dyDescent="0.2">
      <c r="A73">
        <f>A72+'Inputs &amp; Outputs'!$B$6</f>
        <v>1.7844246272390021</v>
      </c>
      <c r="B73">
        <f>Calculations!$A$3*SIN(SQRT('Inputs &amp; Outputs'!$B$4/'Inputs &amp; Outputs'!$B$5)*A73+Calculations!$A$7)</f>
        <v>7.4830811351175877</v>
      </c>
      <c r="C73">
        <f>SQRT('Inputs &amp; Outputs'!$B$4/'Inputs &amp; Outputs'!$B$5)*Calculations!$A$3*COS(SQRT('Inputs &amp; Outputs'!$B$4/'Inputs &amp; Outputs'!$B$5)*A73+Calculations!$A$7)</f>
        <v>1.7323031435957801</v>
      </c>
      <c r="D73">
        <f>1/2*'Inputs &amp; Outputs'!$B$5*'Analytical Steps'!C73^2</f>
        <v>30.00874181311822</v>
      </c>
      <c r="E73">
        <f>1/2*'Inputs &amp; Outputs'!$B$4*'Analytical Steps'!B73^2</f>
        <v>139.99125818688182</v>
      </c>
      <c r="F73">
        <f t="shared" si="1"/>
        <v>170.00000000000006</v>
      </c>
    </row>
    <row r="74" spans="1:6" x14ac:dyDescent="0.2">
      <c r="A74">
        <f>A73+'Inputs &amp; Outputs'!$B$6</f>
        <v>1.8095573684677204</v>
      </c>
      <c r="B74">
        <f>Calculations!$A$3*SIN(SQRT('Inputs &amp; Outputs'!$B$4/'Inputs &amp; Outputs'!$B$5)*A74+Calculations!$A$7)</f>
        <v>7.5260266832736189</v>
      </c>
      <c r="C74">
        <f>SQRT('Inputs &amp; Outputs'!$B$4/'Inputs &amp; Outputs'!$B$5)*Calculations!$A$3*COS(SQRT('Inputs &amp; Outputs'!$B$4/'Inputs &amp; Outputs'!$B$5)*A74+Calculations!$A$7)</f>
        <v>1.6851500202247196</v>
      </c>
      <c r="D74">
        <f>1/2*'Inputs &amp; Outputs'!$B$5*'Analytical Steps'!C74^2</f>
        <v>28.397305906633726</v>
      </c>
      <c r="E74">
        <f>1/2*'Inputs &amp; Outputs'!$B$4*'Analytical Steps'!B74^2</f>
        <v>141.60269409336627</v>
      </c>
      <c r="F74">
        <f t="shared" si="1"/>
        <v>170</v>
      </c>
    </row>
    <row r="75" spans="1:6" x14ac:dyDescent="0.2">
      <c r="A75">
        <f>A74+'Inputs &amp; Outputs'!$B$6</f>
        <v>1.8346901096964388</v>
      </c>
      <c r="B75">
        <f>Calculations!$A$3*SIN(SQRT('Inputs &amp; Outputs'!$B$4/'Inputs &amp; Outputs'!$B$5)*A75+Calculations!$A$7)</f>
        <v>7.5677837845718932</v>
      </c>
      <c r="C75">
        <f>SQRT('Inputs &amp; Outputs'!$B$4/'Inputs &amp; Outputs'!$B$5)*Calculations!$A$3*COS(SQRT('Inputs &amp; Outputs'!$B$4/'Inputs &amp; Outputs'!$B$5)*A75+Calculations!$A$7)</f>
        <v>1.637730792130587</v>
      </c>
      <c r="D75">
        <f>1/2*'Inputs &amp; Outputs'!$B$5*'Analytical Steps'!C75^2</f>
        <v>26.8216214749268</v>
      </c>
      <c r="E75">
        <f>1/2*'Inputs &amp; Outputs'!$B$4*'Analytical Steps'!B75^2</f>
        <v>143.17837852507321</v>
      </c>
      <c r="F75">
        <f t="shared" si="1"/>
        <v>170</v>
      </c>
    </row>
    <row r="76" spans="1:6" x14ac:dyDescent="0.2">
      <c r="A76">
        <f>A75+'Inputs &amp; Outputs'!$B$6</f>
        <v>1.8598228509251571</v>
      </c>
      <c r="B76">
        <f>Calculations!$A$3*SIN(SQRT('Inputs &amp; Outputs'!$B$4/'Inputs &amp; Outputs'!$B$5)*A76+Calculations!$A$7)</f>
        <v>7.6083458450820496</v>
      </c>
      <c r="C76">
        <f>SQRT('Inputs &amp; Outputs'!$B$4/'Inputs &amp; Outputs'!$B$5)*Calculations!$A$3*COS(SQRT('Inputs &amp; Outputs'!$B$4/'Inputs &amp; Outputs'!$B$5)*A76+Calculations!$A$7)</f>
        <v>1.5900529473592002</v>
      </c>
      <c r="D76">
        <f>1/2*'Inputs &amp; Outputs'!$B$5*'Analytical Steps'!C76^2</f>
        <v>25.282683754056798</v>
      </c>
      <c r="E76">
        <f>1/2*'Inputs &amp; Outputs'!$B$4*'Analytical Steps'!B76^2</f>
        <v>144.71731624594321</v>
      </c>
      <c r="F76">
        <f t="shared" si="1"/>
        <v>170</v>
      </c>
    </row>
    <row r="77" spans="1:6" x14ac:dyDescent="0.2">
      <c r="A77">
        <f>A76+'Inputs &amp; Outputs'!$B$6</f>
        <v>1.8849555921538754</v>
      </c>
      <c r="B77">
        <f>Calculations!$A$3*SIN(SQRT('Inputs &amp; Outputs'!$B$4/'Inputs &amp; Outputs'!$B$5)*A77+Calculations!$A$7)</f>
        <v>7.6477064595845246</v>
      </c>
      <c r="C77">
        <f>SQRT('Inputs &amp; Outputs'!$B$4/'Inputs &amp; Outputs'!$B$5)*Calculations!$A$3*COS(SQRT('Inputs &amp; Outputs'!$B$4/'Inputs &amp; Outputs'!$B$5)*A77+Calculations!$A$7)</f>
        <v>1.5421240147949467</v>
      </c>
      <c r="D77">
        <f>1/2*'Inputs &amp; Outputs'!$B$5*'Analytical Steps'!C77^2</f>
        <v>23.781464770072848</v>
      </c>
      <c r="E77">
        <f>1/2*'Inputs &amp; Outputs'!$B$4*'Analytical Steps'!B77^2</f>
        <v>146.21853522992717</v>
      </c>
      <c r="F77">
        <f t="shared" si="1"/>
        <v>170.00000000000003</v>
      </c>
    </row>
    <row r="78" spans="1:6" x14ac:dyDescent="0.2">
      <c r="A78">
        <f>A77+'Inputs &amp; Outputs'!$B$6</f>
        <v>1.9100883333825938</v>
      </c>
      <c r="B78">
        <f>Calculations!$A$3*SIN(SQRT('Inputs &amp; Outputs'!$B$4/'Inputs &amp; Outputs'!$B$5)*A78+Calculations!$A$7)</f>
        <v>7.6858594125820057</v>
      </c>
      <c r="C78">
        <f>SQRT('Inputs &amp; Outputs'!$B$4/'Inputs &amp; Outputs'!$B$5)*Calculations!$A$3*COS(SQRT('Inputs &amp; Outputs'!$B$4/'Inputs &amp; Outputs'!$B$5)*A78+Calculations!$A$7)</f>
        <v>1.4939515629718876</v>
      </c>
      <c r="D78">
        <f>1/2*'Inputs &amp; Outputs'!$B$5*'Analytical Steps'!C78^2</f>
        <v>22.318912725061459</v>
      </c>
      <c r="E78">
        <f>1/2*'Inputs &amp; Outputs'!$B$4*'Analytical Steps'!B78^2</f>
        <v>147.68108727493853</v>
      </c>
      <c r="F78">
        <f t="shared" si="1"/>
        <v>170</v>
      </c>
    </row>
    <row r="79" spans="1:6" x14ac:dyDescent="0.2">
      <c r="A79">
        <f>A78+'Inputs &amp; Outputs'!$B$6</f>
        <v>1.9352210746113121</v>
      </c>
      <c r="B79">
        <f>Calculations!$A$3*SIN(SQRT('Inputs &amp; Outputs'!$B$4/'Inputs &amp; Outputs'!$B$5)*A79+Calculations!$A$7)</f>
        <v>7.722798679280932</v>
      </c>
      <c r="C79">
        <f>SQRT('Inputs &amp; Outputs'!$B$4/'Inputs &amp; Outputs'!$B$5)*Calculations!$A$3*COS(SQRT('Inputs &amp; Outputs'!$B$4/'Inputs &amp; Outputs'!$B$5)*A79+Calculations!$A$7)</f>
        <v>1.4455431988785992</v>
      </c>
      <c r="D79">
        <f>1/2*'Inputs &amp; Outputs'!$B$5*'Analytical Steps'!C79^2</f>
        <v>20.895951398241731</v>
      </c>
      <c r="E79">
        <f>1/2*'Inputs &amp; Outputs'!$B$4*'Analytical Steps'!B79^2</f>
        <v>149.10404860175828</v>
      </c>
      <c r="F79">
        <f t="shared" si="1"/>
        <v>170</v>
      </c>
    </row>
    <row r="80" spans="1:6" x14ac:dyDescent="0.2">
      <c r="A80">
        <f>A79+'Inputs &amp; Outputs'!$B$6</f>
        <v>1.9603538158400304</v>
      </c>
      <c r="B80">
        <f>Calculations!$A$3*SIN(SQRT('Inputs &amp; Outputs'!$B$4/'Inputs &amp; Outputs'!$B$5)*A80+Calculations!$A$7)</f>
        <v>7.7585184265428762</v>
      </c>
      <c r="C80">
        <f>SQRT('Inputs &amp; Outputs'!$B$4/'Inputs &amp; Outputs'!$B$5)*Calculations!$A$3*COS(SQRT('Inputs &amp; Outputs'!$B$4/'Inputs &amp; Outputs'!$B$5)*A80+Calculations!$A$7)</f>
        <v>1.3969065667569407</v>
      </c>
      <c r="D80">
        <f>1/2*'Inputs &amp; Outputs'!$B$5*'Analytical Steps'!C80^2</f>
        <v>19.513479562486634</v>
      </c>
      <c r="E80">
        <f>1/2*'Inputs &amp; Outputs'!$B$4*'Analytical Steps'!B80^2</f>
        <v>150.48652043751338</v>
      </c>
      <c r="F80">
        <f t="shared" si="1"/>
        <v>170</v>
      </c>
    </row>
    <row r="81" spans="1:6" x14ac:dyDescent="0.2">
      <c r="A81">
        <f>A80+'Inputs &amp; Outputs'!$B$6</f>
        <v>1.9854865570687488</v>
      </c>
      <c r="B81">
        <f>Calculations!$A$3*SIN(SQRT('Inputs &amp; Outputs'!$B$4/'Inputs &amp; Outputs'!$B$5)*A81+Calculations!$A$7)</f>
        <v>7.7930130138056715</v>
      </c>
      <c r="C81">
        <f>SQRT('Inputs &amp; Outputs'!$B$4/'Inputs &amp; Outputs'!$B$5)*Calculations!$A$3*COS(SQRT('Inputs &amp; Outputs'!$B$4/'Inputs &amp; Outputs'!$B$5)*A81+Calculations!$A$7)</f>
        <v>1.3480493468949362</v>
      </c>
      <c r="D81">
        <f>1/2*'Inputs &amp; Outputs'!$B$5*'Analytical Steps'!C81^2</f>
        <v>18.172370416638639</v>
      </c>
      <c r="E81">
        <f>1/2*'Inputs &amp; Outputs'!$B$4*'Analytical Steps'!B81^2</f>
        <v>151.82762958336139</v>
      </c>
      <c r="F81">
        <f t="shared" si="1"/>
        <v>170.00000000000003</v>
      </c>
    </row>
    <row r="82" spans="1:6" x14ac:dyDescent="0.2">
      <c r="A82">
        <f>A81+'Inputs &amp; Outputs'!$B$6</f>
        <v>2.0106192982974673</v>
      </c>
      <c r="B82">
        <f>Calculations!$A$3*SIN(SQRT('Inputs &amp; Outputs'!$B$4/'Inputs &amp; Outputs'!$B$5)*A82+Calculations!$A$7)</f>
        <v>7.8262769939741128</v>
      </c>
      <c r="C82">
        <f>SQRT('Inputs &amp; Outputs'!$B$4/'Inputs &amp; Outputs'!$B$5)*Calculations!$A$3*COS(SQRT('Inputs &amp; Outputs'!$B$4/'Inputs &amp; Outputs'!$B$5)*A82+Calculations!$A$7)</f>
        <v>1.2989792544139727</v>
      </c>
      <c r="D82">
        <f>1/2*'Inputs &amp; Outputs'!$B$5*'Analytical Steps'!C82^2</f>
        <v>16.873471033978802</v>
      </c>
      <c r="E82">
        <f>1/2*'Inputs &amp; Outputs'!$B$4*'Analytical Steps'!B82^2</f>
        <v>153.1265289660212</v>
      </c>
      <c r="F82">
        <f t="shared" si="1"/>
        <v>170</v>
      </c>
    </row>
    <row r="83" spans="1:6" x14ac:dyDescent="0.2">
      <c r="A83">
        <f>A82+'Inputs &amp; Outputs'!$B$6</f>
        <v>2.0357520395261859</v>
      </c>
      <c r="B83">
        <f>Calculations!$A$3*SIN(SQRT('Inputs &amp; Outputs'!$B$4/'Inputs &amp; Outputs'!$B$5)*A83+Calculations!$A$7)</f>
        <v>7.8583051142801255</v>
      </c>
      <c r="C83">
        <f>SQRT('Inputs &amp; Outputs'!$B$4/'Inputs &amp; Outputs'!$B$5)*Calculations!$A$3*COS(SQRT('Inputs &amp; Outputs'!$B$4/'Inputs &amp; Outputs'!$B$5)*A83+Calculations!$A$7)</f>
        <v>1.2497040380504918</v>
      </c>
      <c r="D83">
        <f>1/2*'Inputs &amp; Outputs'!$B$5*'Analytical Steps'!C83^2</f>
        <v>15.617601827197049</v>
      </c>
      <c r="E83">
        <f>1/2*'Inputs &amp; Outputs'!$B$4*'Analytical Steps'!B83^2</f>
        <v>154.38239817280294</v>
      </c>
      <c r="F83">
        <f t="shared" si="1"/>
        <v>170</v>
      </c>
    </row>
    <row r="84" spans="1:6" x14ac:dyDescent="0.2">
      <c r="A84">
        <f>A83+'Inputs &amp; Outputs'!$B$6</f>
        <v>2.0608847807549044</v>
      </c>
      <c r="B84">
        <f>Calculations!$A$3*SIN(SQRT('Inputs &amp; Outputs'!$B$4/'Inputs &amp; Outputs'!$B$5)*A84+Calculations!$A$7)</f>
        <v>7.8890923171122314</v>
      </c>
      <c r="C84">
        <f>SQRT('Inputs &amp; Outputs'!$B$4/'Inputs &amp; Outputs'!$B$5)*Calculations!$A$3*COS(SQRT('Inputs &amp; Outputs'!$B$4/'Inputs &amp; Outputs'!$B$5)*A84+Calculations!$A$7)</f>
        <v>1.200231478932374</v>
      </c>
      <c r="D84">
        <f>1/2*'Inputs &amp; Outputs'!$B$5*'Analytical Steps'!C84^2</f>
        <v>14.405556030201938</v>
      </c>
      <c r="E84">
        <f>1/2*'Inputs &amp; Outputs'!$B$4*'Analytical Steps'!B84^2</f>
        <v>155.59444396979808</v>
      </c>
      <c r="F84">
        <f t="shared" si="1"/>
        <v>170.00000000000003</v>
      </c>
    </row>
    <row r="85" spans="1:6" x14ac:dyDescent="0.2">
      <c r="A85">
        <f>A84+'Inputs &amp; Outputs'!$B$6</f>
        <v>2.086017521983623</v>
      </c>
      <c r="B85">
        <f>Calculations!$A$3*SIN(SQRT('Inputs &amp; Outputs'!$B$4/'Inputs &amp; Outputs'!$B$5)*A85+Calculations!$A$7)</f>
        <v>7.9186337408142045</v>
      </c>
      <c r="C85">
        <f>SQRT('Inputs &amp; Outputs'!$B$4/'Inputs &amp; Outputs'!$B$5)*Calculations!$A$3*COS(SQRT('Inputs &amp; Outputs'!$B$4/'Inputs &amp; Outputs'!$B$5)*A85+Calculations!$A$7)</f>
        <v>1.150569389350208</v>
      </c>
      <c r="D85">
        <f>1/2*'Inputs &amp; Outputs'!$B$5*'Analytical Steps'!C85^2</f>
        <v>13.238099197097107</v>
      </c>
      <c r="E85">
        <f>1/2*'Inputs &amp; Outputs'!$B$4*'Analytical Steps'!B85^2</f>
        <v>156.76190080290291</v>
      </c>
      <c r="F85">
        <f t="shared" si="1"/>
        <v>170.00000000000003</v>
      </c>
    </row>
    <row r="86" spans="1:6" x14ac:dyDescent="0.2">
      <c r="A86">
        <f>A85+'Inputs &amp; Outputs'!$B$6</f>
        <v>2.1111502632123416</v>
      </c>
      <c r="B86">
        <f>Calculations!$A$3*SIN(SQRT('Inputs &amp; Outputs'!$B$4/'Inputs &amp; Outputs'!$B$5)*A86+Calculations!$A$7)</f>
        <v>7.9469247204527882</v>
      </c>
      <c r="C86">
        <f>SQRT('Inputs &amp; Outputs'!$B$4/'Inputs &amp; Outputs'!$B$5)*Calculations!$A$3*COS(SQRT('Inputs &amp; Outputs'!$B$4/'Inputs &amp; Outputs'!$B$5)*A86+Calculations!$A$7)</f>
        <v>1.1007256115236403</v>
      </c>
      <c r="D86">
        <f>1/2*'Inputs &amp; Outputs'!$B$5*'Analytical Steps'!C86^2</f>
        <v>12.11596871864092</v>
      </c>
      <c r="E86">
        <f>1/2*'Inputs &amp; Outputs'!$B$4*'Analytical Steps'!B86^2</f>
        <v>157.88403128135906</v>
      </c>
      <c r="F86">
        <f t="shared" si="1"/>
        <v>169.99999999999997</v>
      </c>
    </row>
    <row r="87" spans="1:6" x14ac:dyDescent="0.2">
      <c r="A87">
        <f>A86+'Inputs &amp; Outputs'!$B$6</f>
        <v>2.1362830044410601</v>
      </c>
      <c r="B87">
        <f>Calculations!$A$3*SIN(SQRT('Inputs &amp; Outputs'!$B$4/'Inputs &amp; Outputs'!$B$5)*A87+Calculations!$A$7)</f>
        <v>7.97396078855434</v>
      </c>
      <c r="C87">
        <f>SQRT('Inputs &amp; Outputs'!$B$4/'Inputs &amp; Outputs'!$B$5)*Calculations!$A$3*COS(SQRT('Inputs &amp; Outputs'!$B$4/'Inputs &amp; Outputs'!$B$5)*A87+Calculations!$A$7)</f>
        <v>1.0507080163629967</v>
      </c>
      <c r="D87">
        <f>1/2*'Inputs &amp; Outputs'!$B$5*'Analytical Steps'!C87^2</f>
        <v>11.039873356494635</v>
      </c>
      <c r="E87">
        <f>1/2*'Inputs &amp; Outputs'!$B$4*'Analytical Steps'!B87^2</f>
        <v>158.96012664350539</v>
      </c>
      <c r="F87">
        <f t="shared" si="1"/>
        <v>170.00000000000003</v>
      </c>
    </row>
    <row r="88" spans="1:6" x14ac:dyDescent="0.2">
      <c r="A88">
        <f>A87+'Inputs &amp; Outputs'!$B$6</f>
        <v>2.1614157456697787</v>
      </c>
      <c r="B88">
        <f>Calculations!$A$3*SIN(SQRT('Inputs &amp; Outputs'!$B$4/'Inputs &amp; Outputs'!$B$5)*A88+Calculations!$A$7)</f>
        <v>7.9997376758102918</v>
      </c>
      <c r="C88">
        <f>SQRT('Inputs &amp; Outputs'!$B$4/'Inputs &amp; Outputs'!$B$5)*Calculations!$A$3*COS(SQRT('Inputs &amp; Outputs'!$B$4/'Inputs &amp; Outputs'!$B$5)*A88+Calculations!$A$7)</f>
        <v>1.0005245022263758</v>
      </c>
      <c r="D88">
        <f>1/2*'Inputs &amp; Outputs'!$B$5*'Analytical Steps'!C88^2</f>
        <v>10.01049279555337</v>
      </c>
      <c r="E88">
        <f>1/2*'Inputs &amp; Outputs'!$B$4*'Analytical Steps'!B88^2</f>
        <v>159.98950720444662</v>
      </c>
      <c r="F88">
        <f t="shared" si="1"/>
        <v>170</v>
      </c>
    </row>
    <row r="89" spans="1:6" x14ac:dyDescent="0.2">
      <c r="A89">
        <f>A88+'Inputs &amp; Outputs'!$B$6</f>
        <v>2.1865484868984972</v>
      </c>
      <c r="B89">
        <f>Calculations!$A$3*SIN(SQRT('Inputs &amp; Outputs'!$B$4/'Inputs &amp; Outputs'!$B$5)*A89+Calculations!$A$7)</f>
        <v>8.0242513117513319</v>
      </c>
      <c r="C89">
        <f>SQRT('Inputs &amp; Outputs'!$B$4/'Inputs &amp; Outputs'!$B$5)*Calculations!$A$3*COS(SQRT('Inputs &amp; Outputs'!$B$4/'Inputs &amp; Outputs'!$B$5)*A89+Calculations!$A$7)</f>
        <v>0.95018299367240522</v>
      </c>
      <c r="D89">
        <f>1/2*'Inputs &amp; Outputs'!$B$5*'Analytical Steps'!C89^2</f>
        <v>9.0284772146425407</v>
      </c>
      <c r="E89">
        <f>1/2*'Inputs &amp; Outputs'!$B$4*'Analytical Steps'!B89^2</f>
        <v>160.97152278535742</v>
      </c>
      <c r="F89">
        <f t="shared" si="1"/>
        <v>169.99999999999997</v>
      </c>
    </row>
    <row r="90" spans="1:6" x14ac:dyDescent="0.2">
      <c r="A90">
        <f>A89+'Inputs &amp; Outputs'!$B$6</f>
        <v>2.2116812281272158</v>
      </c>
      <c r="B90">
        <f>Calculations!$A$3*SIN(SQRT('Inputs &amp; Outputs'!$B$4/'Inputs &amp; Outputs'!$B$5)*A90+Calculations!$A$7)</f>
        <v>8.0474978253901757</v>
      </c>
      <c r="C90">
        <f>SQRT('Inputs &amp; Outputs'!$B$4/'Inputs &amp; Outputs'!$B$5)*Calculations!$A$3*COS(SQRT('Inputs &amp; Outputs'!$B$4/'Inputs &amp; Outputs'!$B$5)*A90+Calculations!$A$7)</f>
        <v>0.89969144020886316</v>
      </c>
      <c r="D90">
        <f>1/2*'Inputs &amp; Outputs'!$B$5*'Analytical Steps'!C90^2</f>
        <v>8.0944468758509842</v>
      </c>
      <c r="E90">
        <f>1/2*'Inputs &amp; Outputs'!$B$4*'Analytical Steps'!B90^2</f>
        <v>161.90555312414901</v>
      </c>
      <c r="F90">
        <f t="shared" si="1"/>
        <v>170</v>
      </c>
    </row>
    <row r="91" spans="1:6" x14ac:dyDescent="0.2">
      <c r="A91">
        <f>A90+'Inputs &amp; Outputs'!$B$6</f>
        <v>2.2368139693559344</v>
      </c>
      <c r="B91">
        <f>Calculations!$A$3*SIN(SQRT('Inputs &amp; Outputs'!$B$4/'Inputs &amp; Outputs'!$B$5)*A91+Calculations!$A$7)</f>
        <v>8.0694735458328353</v>
      </c>
      <c r="C91">
        <f>SQRT('Inputs &amp; Outputs'!$B$4/'Inputs &amp; Outputs'!$B$5)*Calculations!$A$3*COS(SQRT('Inputs &amp; Outputs'!$B$4/'Inputs &amp; Outputs'!$B$5)*A91+Calculations!$A$7)</f>
        <v>0.849057815037358</v>
      </c>
      <c r="D91">
        <f>1/2*'Inputs &amp; Outputs'!$B$5*'Analytical Steps'!C91^2</f>
        <v>7.2089917327601238</v>
      </c>
      <c r="E91">
        <f>1/2*'Inputs &amp; Outputs'!$B$4*'Analytical Steps'!B91^2</f>
        <v>162.79100826723987</v>
      </c>
      <c r="F91">
        <f t="shared" si="1"/>
        <v>170</v>
      </c>
    </row>
    <row r="92" spans="1:6" x14ac:dyDescent="0.2">
      <c r="A92">
        <f>A91+'Inputs &amp; Outputs'!$B$6</f>
        <v>2.2619467105846529</v>
      </c>
      <c r="B92">
        <f>Calculations!$A$3*SIN(SQRT('Inputs &amp; Outputs'!$B$4/'Inputs &amp; Outputs'!$B$5)*A92+Calculations!$A$7)</f>
        <v>8.0901750028583024</v>
      </c>
      <c r="C92">
        <f>SQRT('Inputs &amp; Outputs'!$B$4/'Inputs &amp; Outputs'!$B$5)*Calculations!$A$3*COS(SQRT('Inputs &amp; Outputs'!$B$4/'Inputs &amp; Outputs'!$B$5)*A92+Calculations!$A$7)</f>
        <v>0.79829011379426806</v>
      </c>
      <c r="D92">
        <f>1/2*'Inputs &amp; Outputs'!$B$5*'Analytical Steps'!C92^2</f>
        <v>6.372671057816655</v>
      </c>
      <c r="E92">
        <f>1/2*'Inputs &amp; Outputs'!$B$4*'Analytical Steps'!B92^2</f>
        <v>163.62732894218334</v>
      </c>
      <c r="F92">
        <f t="shared" si="1"/>
        <v>170</v>
      </c>
    </row>
    <row r="93" spans="1:6" x14ac:dyDescent="0.2">
      <c r="A93">
        <f>A92+'Inputs &amp; Outputs'!$B$6</f>
        <v>2.2870794518133715</v>
      </c>
      <c r="B93">
        <f>Calculations!$A$3*SIN(SQRT('Inputs &amp; Outputs'!$B$4/'Inputs &amp; Outputs'!$B$5)*A93+Calculations!$A$7)</f>
        <v>8.1095989274665357</v>
      </c>
      <c r="C93">
        <f>SQRT('Inputs &amp; Outputs'!$B$4/'Inputs &amp; Outputs'!$B$5)*Calculations!$A$3*COS(SQRT('Inputs &amp; Outputs'!$B$4/'Inputs &amp; Outputs'!$B$5)*A93+Calculations!$A$7)</f>
        <v>0.74739635328813736</v>
      </c>
      <c r="D93">
        <f>1/2*'Inputs &amp; Outputs'!$B$5*'Analytical Steps'!C93^2</f>
        <v>5.5860130890840622</v>
      </c>
      <c r="E93">
        <f>1/2*'Inputs &amp; Outputs'!$B$4*'Analytical Steps'!B93^2</f>
        <v>164.41398691091595</v>
      </c>
      <c r="F93">
        <f t="shared" si="1"/>
        <v>170</v>
      </c>
    </row>
    <row r="94" spans="1:6" x14ac:dyDescent="0.2">
      <c r="A94">
        <f>A93+'Inputs &amp; Outputs'!$B$6</f>
        <v>2.31221219304209</v>
      </c>
      <c r="B94">
        <f>Calculations!$A$3*SIN(SQRT('Inputs &amp; Outputs'!$B$4/'Inputs &amp; Outputs'!$B$5)*A94+Calculations!$A$7)</f>
        <v>8.1277422523946683</v>
      </c>
      <c r="C94">
        <f>SQRT('Inputs &amp; Outputs'!$B$4/'Inputs &amp; Outputs'!$B$5)*Calculations!$A$3*COS(SQRT('Inputs &amp; Outputs'!$B$4/'Inputs &amp; Outputs'!$B$5)*A94+Calculations!$A$7)</f>
        <v>0.69638457023372913</v>
      </c>
      <c r="D94">
        <f>1/2*'Inputs &amp; Outputs'!$B$5*'Analytical Steps'!C94^2</f>
        <v>4.849514696596156</v>
      </c>
      <c r="E94">
        <f>1/2*'Inputs &amp; Outputs'!$B$4*'Analytical Steps'!B94^2</f>
        <v>165.15048530340391</v>
      </c>
      <c r="F94">
        <f t="shared" si="1"/>
        <v>170.00000000000006</v>
      </c>
    </row>
    <row r="95" spans="1:6" x14ac:dyDescent="0.2">
      <c r="A95">
        <f>A94+'Inputs &amp; Outputs'!$B$6</f>
        <v>2.3373449342708086</v>
      </c>
      <c r="B95">
        <f>Calculations!$A$3*SIN(SQRT('Inputs &amp; Outputs'!$B$4/'Inputs &amp; Outputs'!$B$5)*A95+Calculations!$A$7)</f>
        <v>8.144602112601369</v>
      </c>
      <c r="C95">
        <f>SQRT('Inputs &amp; Outputs'!$B$4/'Inputs &amp; Outputs'!$B$5)*Calculations!$A$3*COS(SQRT('Inputs &amp; Outputs'!$B$4/'Inputs &amp; Outputs'!$B$5)*A95+Calculations!$A$7)</f>
        <v>0.64526281998293511</v>
      </c>
      <c r="D95">
        <f>1/2*'Inputs &amp; Outputs'!$B$5*'Analytical Steps'!C95^2</f>
        <v>4.1636410685232974</v>
      </c>
      <c r="E95">
        <f>1/2*'Inputs &amp; Outputs'!$B$4*'Analytical Steps'!B95^2</f>
        <v>165.83635893147672</v>
      </c>
      <c r="F95">
        <f t="shared" si="1"/>
        <v>170.00000000000003</v>
      </c>
    </row>
    <row r="96" spans="1:6" x14ac:dyDescent="0.2">
      <c r="A96">
        <f>A95+'Inputs &amp; Outputs'!$B$6</f>
        <v>2.3624776754995271</v>
      </c>
      <c r="B96">
        <f>Calculations!$A$3*SIN(SQRT('Inputs &amp; Outputs'!$B$4/'Inputs &amp; Outputs'!$B$5)*A96+Calculations!$A$7)</f>
        <v>8.1601758457192677</v>
      </c>
      <c r="C96">
        <f>SQRT('Inputs &amp; Outputs'!$B$4/'Inputs &amp; Outputs'!$B$5)*Calculations!$A$3*COS(SQRT('Inputs &amp; Outputs'!$B$4/'Inputs &amp; Outputs'!$B$5)*A96+Calculations!$A$7)</f>
        <v>0.59403917525274164</v>
      </c>
      <c r="D96">
        <f>1/2*'Inputs &amp; Outputs'!$B$5*'Analytical Steps'!C96^2</f>
        <v>3.5288254173495748</v>
      </c>
      <c r="E96">
        <f>1/2*'Inputs &amp; Outputs'!$B$4*'Analytical Steps'!B96^2</f>
        <v>166.47117458265041</v>
      </c>
      <c r="F96">
        <f t="shared" si="1"/>
        <v>169.99999999999997</v>
      </c>
    </row>
    <row r="97" spans="1:6" x14ac:dyDescent="0.2">
      <c r="A97">
        <f>A96+'Inputs &amp; Outputs'!$B$6</f>
        <v>2.3876104167282457</v>
      </c>
      <c r="B97">
        <f>Calculations!$A$3*SIN(SQRT('Inputs &amp; Outputs'!$B$4/'Inputs &amp; Outputs'!$B$5)*A97+Calculations!$A$7)</f>
        <v>8.1744609924753693</v>
      </c>
      <c r="C97">
        <f>SQRT('Inputs &amp; Outputs'!$B$4/'Inputs &amp; Outputs'!$B$5)*Calculations!$A$3*COS(SQRT('Inputs &amp; Outputs'!$B$4/'Inputs &amp; Outputs'!$B$5)*A97+Calculations!$A$7)</f>
        <v>0.54272172485045533</v>
      </c>
      <c r="D97">
        <f>1/2*'Inputs &amp; Outputs'!$B$5*'Analytical Steps'!C97^2</f>
        <v>2.9454687062465332</v>
      </c>
      <c r="E97">
        <f>1/2*'Inputs &amp; Outputs'!$B$4*'Analytical Steps'!B97^2</f>
        <v>167.05453129375348</v>
      </c>
      <c r="F97">
        <f t="shared" si="1"/>
        <v>170.00000000000003</v>
      </c>
    </row>
    <row r="98" spans="1:6" x14ac:dyDescent="0.2">
      <c r="A98">
        <f>A97+'Inputs &amp; Outputs'!$B$6</f>
        <v>2.4127431579569643</v>
      </c>
      <c r="B98">
        <f>Calculations!$A$3*SIN(SQRT('Inputs &amp; Outputs'!$B$4/'Inputs &amp; Outputs'!$B$5)*A98+Calculations!$A$7)</f>
        <v>8.1874552970793992</v>
      </c>
      <c r="C98">
        <f>SQRT('Inputs &amp; Outputs'!$B$4/'Inputs &amp; Outputs'!$B$5)*Calculations!$A$3*COS(SQRT('Inputs &amp; Outputs'!$B$4/'Inputs &amp; Outputs'!$B$5)*A98+Calculations!$A$7)</f>
        <v>0.49131857239638516</v>
      </c>
      <c r="D98">
        <f>1/2*'Inputs &amp; Outputs'!$B$5*'Analytical Steps'!C98^2</f>
        <v>2.4139393958162199</v>
      </c>
      <c r="E98">
        <f>1/2*'Inputs &amp; Outputs'!$B$4*'Analytical Steps'!B98^2</f>
        <v>167.58606060418379</v>
      </c>
      <c r="F98">
        <f t="shared" si="1"/>
        <v>170</v>
      </c>
    </row>
    <row r="99" spans="1:6" x14ac:dyDescent="0.2">
      <c r="A99">
        <f>A98+'Inputs &amp; Outputs'!$B$6</f>
        <v>2.4378758991856828</v>
      </c>
      <c r="B99">
        <f>Calculations!$A$3*SIN(SQRT('Inputs &amp; Outputs'!$B$4/'Inputs &amp; Outputs'!$B$5)*A99+Calculations!$A$7)</f>
        <v>8.1991567075800287</v>
      </c>
      <c r="C99">
        <f>SQRT('Inputs &amp; Outputs'!$B$4/'Inputs &amp; Outputs'!$B$5)*Calculations!$A$3*COS(SQRT('Inputs &amp; Outputs'!$B$4/'Inputs &amp; Outputs'!$B$5)*A99+Calculations!$A$7)</f>
        <v>0.43983783504418811</v>
      </c>
      <c r="D99">
        <f>1/2*'Inputs &amp; Outputs'!$B$5*'Analytical Steps'!C99^2</f>
        <v>1.9345732113635843</v>
      </c>
      <c r="E99">
        <f>1/2*'Inputs &amp; Outputs'!$B$4*'Analytical Steps'!B99^2</f>
        <v>168.06542678863644</v>
      </c>
      <c r="F99">
        <f t="shared" si="1"/>
        <v>170.00000000000003</v>
      </c>
    </row>
    <row r="100" spans="1:6" x14ac:dyDescent="0.2">
      <c r="A100">
        <f>A99+'Inputs &amp; Outputs'!$B$6</f>
        <v>2.4630086404144014</v>
      </c>
      <c r="B100">
        <f>Calculations!$A$3*SIN(SQRT('Inputs &amp; Outputs'!$B$4/'Inputs &amp; Outputs'!$B$5)*A100+Calculations!$A$7)</f>
        <v>8.2095633761888909</v>
      </c>
      <c r="C100">
        <f>SQRT('Inputs &amp; Outputs'!$B$4/'Inputs &amp; Outputs'!$B$5)*Calculations!$A$3*COS(SQRT('Inputs &amp; Outputs'!$B$4/'Inputs &amp; Outputs'!$B$5)*A100+Calculations!$A$7)</f>
        <v>0.38828764219907563</v>
      </c>
      <c r="D100">
        <f>1/2*'Inputs &amp; Outputs'!$B$5*'Analytical Steps'!C100^2</f>
        <v>1.507672930845174</v>
      </c>
      <c r="E100">
        <f>1/2*'Inputs &amp; Outputs'!$B$4*'Analytical Steps'!B100^2</f>
        <v>168.49232706915487</v>
      </c>
      <c r="F100">
        <f t="shared" si="1"/>
        <v>170.00000000000003</v>
      </c>
    </row>
    <row r="101" spans="1:6" x14ac:dyDescent="0.2">
      <c r="A101">
        <f>A100+'Inputs &amp; Outputs'!$B$6</f>
        <v>2.4881413816431199</v>
      </c>
      <c r="B101">
        <f>Calculations!$A$3*SIN(SQRT('Inputs &amp; Outputs'!$B$4/'Inputs &amp; Outputs'!$B$5)*A101+Calculations!$A$7)</f>
        <v>8.2186736595723744</v>
      </c>
      <c r="C101">
        <f>SQRT('Inputs &amp; Outputs'!$B$4/'Inputs &amp; Outputs'!$B$5)*Calculations!$A$3*COS(SQRT('Inputs &amp; Outputs'!$B$4/'Inputs &amp; Outputs'!$B$5)*A101+Calculations!$A$7)</f>
        <v>0.33667613423408671</v>
      </c>
      <c r="D101">
        <f>1/2*'Inputs &amp; Outputs'!$B$5*'Analytical Steps'!C101^2</f>
        <v>1.1335081936280877</v>
      </c>
      <c r="E101">
        <f>1/2*'Inputs &amp; Outputs'!$B$4*'Analytical Steps'!B101^2</f>
        <v>168.86649180637193</v>
      </c>
      <c r="F101">
        <f t="shared" si="1"/>
        <v>170</v>
      </c>
    </row>
    <row r="102" spans="1:6" x14ac:dyDescent="0.2">
      <c r="A102">
        <f>A101+'Inputs &amp; Outputs'!$B$6</f>
        <v>2.5132741228718385</v>
      </c>
      <c r="B102">
        <f>Calculations!$A$3*SIN(SQRT('Inputs &amp; Outputs'!$B$4/'Inputs &amp; Outputs'!$B$5)*A102+Calculations!$A$7)</f>
        <v>8.226486119111124</v>
      </c>
      <c r="C102">
        <f>SQRT('Inputs &amp; Outputs'!$B$4/'Inputs &amp; Outputs'!$B$5)*Calculations!$A$3*COS(SQRT('Inputs &amp; Outputs'!$B$4/'Inputs &amp; Outputs'!$B$5)*A102+Calculations!$A$7)</f>
        <v>0.28501146120462872</v>
      </c>
      <c r="D102">
        <f>1/2*'Inputs &amp; Outputs'!$B$5*'Analytical Steps'!C102^2</f>
        <v>0.81231533017997581</v>
      </c>
      <c r="E102">
        <f>1/2*'Inputs &amp; Outputs'!$B$4*'Analytical Steps'!B102^2</f>
        <v>169.18768466982002</v>
      </c>
      <c r="F102">
        <f t="shared" si="1"/>
        <v>170</v>
      </c>
    </row>
    <row r="103" spans="1:6" x14ac:dyDescent="0.2">
      <c r="A103">
        <f>A102+'Inputs &amp; Outputs'!$B$6</f>
        <v>2.538406864100557</v>
      </c>
      <c r="B103">
        <f>Calculations!$A$3*SIN(SQRT('Inputs &amp; Outputs'!$B$4/'Inputs &amp; Outputs'!$B$5)*A103+Calculations!$A$7)</f>
        <v>8.2329995211272138</v>
      </c>
      <c r="C103">
        <f>SQRT('Inputs &amp; Outputs'!$B$4/'Inputs &amp; Outputs'!$B$5)*Calculations!$A$3*COS(SQRT('Inputs &amp; Outputs'!$B$4/'Inputs &amp; Outputs'!$B$5)*A103+Calculations!$A$7)</f>
        <v>0.23330178156148884</v>
      </c>
      <c r="D103">
        <f>1/2*'Inputs &amp; Outputs'!$B$5*'Analytical Steps'!C103^2</f>
        <v>0.54429721279764653</v>
      </c>
      <c r="E103">
        <f>1/2*'Inputs &amp; Outputs'!$B$4*'Analytical Steps'!B103^2</f>
        <v>169.45570278720231</v>
      </c>
      <c r="F103">
        <f t="shared" si="1"/>
        <v>169.99999999999997</v>
      </c>
    </row>
    <row r="104" spans="1:6" x14ac:dyDescent="0.2">
      <c r="A104">
        <f>A103+'Inputs &amp; Outputs'!$B$6</f>
        <v>2.5635396053292756</v>
      </c>
      <c r="B104">
        <f>Calculations!$A$3*SIN(SQRT('Inputs &amp; Outputs'!$B$4/'Inputs &amp; Outputs'!$B$5)*A104+Calculations!$A$7)</f>
        <v>8.2382128370789598</v>
      </c>
      <c r="C104">
        <f>SQRT('Inputs &amp; Outputs'!$B$4/'Inputs &amp; Outputs'!$B$5)*Calculations!$A$3*COS(SQRT('Inputs &amp; Outputs'!$B$4/'Inputs &amp; Outputs'!$B$5)*A104+Calculations!$A$7)</f>
        <v>0.18155526086252033</v>
      </c>
      <c r="D104">
        <f>1/2*'Inputs &amp; Outputs'!$B$5*'Analytical Steps'!C104^2</f>
        <v>0.32962312746857803</v>
      </c>
      <c r="E104">
        <f>1/2*'Inputs &amp; Outputs'!$B$4*'Analytical Steps'!B104^2</f>
        <v>169.67037687253139</v>
      </c>
      <c r="F104">
        <f t="shared" si="1"/>
        <v>169.99999999999997</v>
      </c>
    </row>
    <row r="105" spans="1:6" x14ac:dyDescent="0.2">
      <c r="A105">
        <f>A104+'Inputs &amp; Outputs'!$B$6</f>
        <v>2.5886723465579942</v>
      </c>
      <c r="B105">
        <f>Calculations!$A$3*SIN(SQRT('Inputs &amp; Outputs'!$B$4/'Inputs &amp; Outputs'!$B$5)*A105+Calculations!$A$7)</f>
        <v>8.2421252437233381</v>
      </c>
      <c r="C105">
        <f>SQRT('Inputs &amp; Outputs'!$B$4/'Inputs &amp; Outputs'!$B$5)*Calculations!$A$3*COS(SQRT('Inputs &amp; Outputs'!$B$4/'Inputs &amp; Outputs'!$B$5)*A105+Calculations!$A$7)</f>
        <v>0.12978007048320633</v>
      </c>
      <c r="D105">
        <f>1/2*'Inputs &amp; Outputs'!$B$5*'Analytical Steps'!C105^2</f>
        <v>0.16842866694626005</v>
      </c>
      <c r="E105">
        <f>1/2*'Inputs &amp; Outputs'!$B$4*'Analytical Steps'!B105^2</f>
        <v>169.83157133305372</v>
      </c>
      <c r="F105">
        <f t="shared" si="1"/>
        <v>169.99999999999997</v>
      </c>
    </row>
    <row r="106" spans="1:6" x14ac:dyDescent="0.2">
      <c r="A106">
        <f>A105+'Inputs &amp; Outputs'!$B$6</f>
        <v>2.6138050877867127</v>
      </c>
      <c r="B106">
        <f>Calculations!$A$3*SIN(SQRT('Inputs &amp; Outputs'!$B$4/'Inputs &amp; Outputs'!$B$5)*A106+Calculations!$A$7)</f>
        <v>8.2447361232459855</v>
      </c>
      <c r="C106">
        <f>SQRT('Inputs &amp; Outputs'!$B$4/'Inputs &amp; Outputs'!$B$5)*Calculations!$A$3*COS(SQRT('Inputs &amp; Outputs'!$B$4/'Inputs &amp; Outputs'!$B$5)*A106+Calculations!$A$7)</f>
        <v>7.798438632630468E-2</v>
      </c>
      <c r="D106">
        <f>1/2*'Inputs &amp; Outputs'!$B$5*'Analytical Steps'!C106^2</f>
        <v>6.0815645106903363E-2</v>
      </c>
      <c r="E106">
        <f>1/2*'Inputs &amp; Outputs'!$B$4*'Analytical Steps'!B106^2</f>
        <v>169.93918435489309</v>
      </c>
      <c r="F106">
        <f t="shared" si="1"/>
        <v>170</v>
      </c>
    </row>
    <row r="107" spans="1:6" x14ac:dyDescent="0.2">
      <c r="A107">
        <f>A106+'Inputs &amp; Outputs'!$B$6</f>
        <v>2.6389378290154313</v>
      </c>
      <c r="B107">
        <f>Calculations!$A$3*SIN(SQRT('Inputs &amp; Outputs'!$B$4/'Inputs &amp; Outputs'!$B$5)*A107+Calculations!$A$7)</f>
        <v>8.2460450633587588</v>
      </c>
      <c r="C107">
        <f>SQRT('Inputs &amp; Outputs'!$B$4/'Inputs &amp; Outputs'!$B$5)*Calculations!$A$3*COS(SQRT('Inputs &amp; Outputs'!$B$4/'Inputs &amp; Outputs'!$B$5)*A107+Calculations!$A$7)</f>
        <v>2.6176387530778427E-2</v>
      </c>
      <c r="D107">
        <f>1/2*'Inputs &amp; Outputs'!$B$5*'Analytical Steps'!C107^2</f>
        <v>6.8520326416149227E-3</v>
      </c>
      <c r="E107">
        <f>1/2*'Inputs &amp; Outputs'!$B$4*'Analytical Steps'!B107^2</f>
        <v>169.99314796735837</v>
      </c>
      <c r="F107">
        <f t="shared" si="1"/>
        <v>169.99999999999997</v>
      </c>
    </row>
    <row r="108" spans="1:6" x14ac:dyDescent="0.2">
      <c r="A108">
        <f>A107+'Inputs &amp; Outputs'!$B$6</f>
        <v>2.6640705702441498</v>
      </c>
      <c r="B108">
        <f>Calculations!$A$3*SIN(SQRT('Inputs &amp; Outputs'!$B$4/'Inputs &amp; Outputs'!$B$5)*A108+Calculations!$A$7)</f>
        <v>8.2460518573648418</v>
      </c>
      <c r="C108">
        <f>SQRT('Inputs &amp; Outputs'!$B$4/'Inputs &amp; Outputs'!$B$5)*Calculations!$A$3*COS(SQRT('Inputs &amp; Outputs'!$B$4/'Inputs &amp; Outputs'!$B$5)*A108+Calculations!$A$7)</f>
        <v>-2.5635744819785245E-2</v>
      </c>
      <c r="D108">
        <f>1/2*'Inputs &amp; Outputs'!$B$5*'Analytical Steps'!C108^2</f>
        <v>6.57191412465146E-3</v>
      </c>
      <c r="E108">
        <f>1/2*'Inputs &amp; Outputs'!$B$4*'Analytical Steps'!B108^2</f>
        <v>169.99342808587539</v>
      </c>
      <c r="F108">
        <f t="shared" si="1"/>
        <v>170.00000000000006</v>
      </c>
    </row>
    <row r="109" spans="1:6" x14ac:dyDescent="0.2">
      <c r="A109">
        <f>A108+'Inputs &amp; Outputs'!$B$6</f>
        <v>2.6892033114728684</v>
      </c>
      <c r="B109">
        <f>Calculations!$A$3*SIN(SQRT('Inputs &amp; Outputs'!$B$4/'Inputs &amp; Outputs'!$B$5)*A109+Calculations!$A$7)</f>
        <v>8.2447565041913791</v>
      </c>
      <c r="C109">
        <f>SQRT('Inputs &amp; Outputs'!$B$4/'Inputs &amp; Outputs'!$B$5)*Calculations!$A$3*COS(SQRT('Inputs &amp; Outputs'!$B$4/'Inputs &amp; Outputs'!$B$5)*A109+Calculations!$A$7)</f>
        <v>-7.7443828989062893E-2</v>
      </c>
      <c r="D109">
        <f>1/2*'Inputs &amp; Outputs'!$B$5*'Analytical Steps'!C109^2</f>
        <v>5.9975466484872182E-2</v>
      </c>
      <c r="E109">
        <f>1/2*'Inputs &amp; Outputs'!$B$4*'Analytical Steps'!B109^2</f>
        <v>169.94002453351513</v>
      </c>
      <c r="F109">
        <f t="shared" si="1"/>
        <v>170</v>
      </c>
    </row>
    <row r="110" spans="1:6" x14ac:dyDescent="0.2">
      <c r="A110">
        <f>A109+'Inputs &amp; Outputs'!$B$6</f>
        <v>2.714336052701587</v>
      </c>
      <c r="B110">
        <f>Calculations!$A$3*SIN(SQRT('Inputs &amp; Outputs'!$B$4/'Inputs &amp; Outputs'!$B$5)*A110+Calculations!$A$7)</f>
        <v>8.2421592083896567</v>
      </c>
      <c r="C110">
        <f>SQRT('Inputs &amp; Outputs'!$B$4/'Inputs &amp; Outputs'!$B$5)*Calculations!$A$3*COS(SQRT('Inputs &amp; Outputs'!$B$4/'Inputs &amp; Outputs'!$B$5)*A110+Calculations!$A$7)</f>
        <v>-0.12923968387998583</v>
      </c>
      <c r="D110">
        <f>1/2*'Inputs &amp; Outputs'!$B$5*'Analytical Steps'!C110^2</f>
        <v>0.16702895889398667</v>
      </c>
      <c r="E110">
        <f>1/2*'Inputs &amp; Outputs'!$B$4*'Analytical Steps'!B110^2</f>
        <v>169.83297104110602</v>
      </c>
      <c r="F110">
        <f t="shared" si="1"/>
        <v>170</v>
      </c>
    </row>
    <row r="111" spans="1:6" x14ac:dyDescent="0.2">
      <c r="A111">
        <f>A110+'Inputs &amp; Outputs'!$B$6</f>
        <v>2.7394687939303055</v>
      </c>
      <c r="B111">
        <f>Calculations!$A$3*SIN(SQRT('Inputs &amp; Outputs'!$B$4/'Inputs &amp; Outputs'!$B$5)*A111+Calculations!$A$7)</f>
        <v>8.2382603801027869</v>
      </c>
      <c r="C111">
        <f>SQRT('Inputs &amp; Outputs'!$B$4/'Inputs &amp; Outputs'!$B$5)*Calculations!$A$3*COS(SQRT('Inputs &amp; Outputs'!$B$4/'Inputs &amp; Outputs'!$B$5)*A111+Calculations!$A$7)</f>
        <v>-0.18101513032663014</v>
      </c>
      <c r="D111">
        <f>1/2*'Inputs &amp; Outputs'!$B$5*'Analytical Steps'!C111^2</f>
        <v>0.32766477407166894</v>
      </c>
      <c r="E111">
        <f>1/2*'Inputs &amp; Outputs'!$B$4*'Analytical Steps'!B111^2</f>
        <v>169.67233522592829</v>
      </c>
      <c r="F111">
        <f t="shared" si="1"/>
        <v>169.99999999999997</v>
      </c>
    </row>
    <row r="112" spans="1:6" x14ac:dyDescent="0.2">
      <c r="A112">
        <f>A111+'Inputs &amp; Outputs'!$B$6</f>
        <v>2.7646015351590241</v>
      </c>
      <c r="B112">
        <f>Calculations!$A$3*SIN(SQRT('Inputs &amp; Outputs'!$B$4/'Inputs &amp; Outputs'!$B$5)*A112+Calculations!$A$7)</f>
        <v>8.2330606350009585</v>
      </c>
      <c r="C112">
        <f>SQRT('Inputs &amp; Outputs'!$B$4/'Inputs &amp; Outputs'!$B$5)*Calculations!$A$3*COS(SQRT('Inputs &amp; Outputs'!$B$4/'Inputs &amp; Outputs'!$B$5)*A112+Calculations!$A$7)</f>
        <v>-0.23276199238580195</v>
      </c>
      <c r="D112">
        <f>1/2*'Inputs &amp; Outputs'!$B$5*'Analytical Steps'!C112^2</f>
        <v>0.54178145099408126</v>
      </c>
      <c r="E112">
        <f>1/2*'Inputs &amp; Outputs'!$B$4*'Analytical Steps'!B112^2</f>
        <v>169.45821854900598</v>
      </c>
      <c r="F112">
        <f t="shared" si="1"/>
        <v>170.00000000000006</v>
      </c>
    </row>
    <row r="113" spans="1:6" x14ac:dyDescent="0.2">
      <c r="A113">
        <f>A112+'Inputs &amp; Outputs'!$B$6</f>
        <v>2.7897342763877426</v>
      </c>
      <c r="B113">
        <f>Calculations!$A$3*SIN(SQRT('Inputs &amp; Outputs'!$B$4/'Inputs &amp; Outputs'!$B$5)*A113+Calculations!$A$7)</f>
        <v>8.2265607941841932</v>
      </c>
      <c r="C113">
        <f>SQRT('Inputs &amp; Outputs'!$B$4/'Inputs &amp; Outputs'!$B$5)*Calculations!$A$3*COS(SQRT('Inputs &amp; Outputs'!$B$4/'Inputs &amp; Outputs'!$B$5)*A113+Calculations!$A$7)</f>
        <v>-0.2844720986281134</v>
      </c>
      <c r="D113">
        <f>1/2*'Inputs &amp; Outputs'!$B$5*'Analytical Steps'!C113^2</f>
        <v>0.80924374897883078</v>
      </c>
      <c r="E113">
        <f>1/2*'Inputs &amp; Outputs'!$B$4*'Analytical Steps'!B113^2</f>
        <v>169.19075625102118</v>
      </c>
      <c r="F113">
        <f t="shared" si="1"/>
        <v>170.00000000000003</v>
      </c>
    </row>
    <row r="114" spans="1:6" x14ac:dyDescent="0.2">
      <c r="A114">
        <f>A113+'Inputs &amp; Outputs'!$B$6</f>
        <v>2.8148670176164612</v>
      </c>
      <c r="B114">
        <f>Calculations!$A$3*SIN(SQRT('Inputs &amp; Outputs'!$B$4/'Inputs &amp; Outputs'!$B$5)*A114+Calculations!$A$7)</f>
        <v>8.2187618840527108</v>
      </c>
      <c r="C114">
        <f>SQRT('Inputs &amp; Outputs'!$B$4/'Inputs &amp; Outputs'!$B$5)*Calculations!$A$3*COS(SQRT('Inputs &amp; Outputs'!$B$4/'Inputs &amp; Outputs'!$B$5)*A114+Calculations!$A$7)</f>
        <v>-0.33613728342834631</v>
      </c>
      <c r="D114">
        <f>1/2*'Inputs &amp; Outputs'!$B$5*'Analytical Steps'!C114^2</f>
        <v>1.1298827331058843</v>
      </c>
      <c r="E114">
        <f>1/2*'Inputs &amp; Outputs'!$B$4*'Analytical Steps'!B114^2</f>
        <v>168.87011726689417</v>
      </c>
      <c r="F114">
        <f t="shared" si="1"/>
        <v>170.00000000000006</v>
      </c>
    </row>
    <row r="115" spans="1:6" x14ac:dyDescent="0.2">
      <c r="A115">
        <f>A114+'Inputs &amp; Outputs'!$B$6</f>
        <v>2.8399997588451797</v>
      </c>
      <c r="B115">
        <f>Calculations!$A$3*SIN(SQRT('Inputs &amp; Outputs'!$B$4/'Inputs &amp; Outputs'!$B$5)*A115+Calculations!$A$7)</f>
        <v>8.2096651361448245</v>
      </c>
      <c r="C115">
        <f>SQRT('Inputs &amp; Outputs'!$B$4/'Inputs &amp; Outputs'!$B$5)*Calculations!$A$3*COS(SQRT('Inputs &amp; Outputs'!$B$4/'Inputs &amp; Outputs'!$B$5)*A115+Calculations!$A$7)</f>
        <v>-0.3877493882548988</v>
      </c>
      <c r="D115">
        <f>1/2*'Inputs &amp; Outputs'!$B$5*'Analytical Steps'!C115^2</f>
        <v>1.5034958809204824</v>
      </c>
      <c r="E115">
        <f>1/2*'Inputs &amp; Outputs'!$B$4*'Analytical Steps'!B115^2</f>
        <v>168.49650411907956</v>
      </c>
      <c r="F115">
        <f t="shared" si="1"/>
        <v>170.00000000000006</v>
      </c>
    </row>
    <row r="116" spans="1:6" x14ac:dyDescent="0.2">
      <c r="A116">
        <f>A115+'Inputs &amp; Outputs'!$B$6</f>
        <v>2.8651325000738983</v>
      </c>
      <c r="B116">
        <f>Calculations!$A$3*SIN(SQRT('Inputs &amp; Outputs'!$B$4/'Inputs &amp; Outputs'!$B$5)*A116+Calculations!$A$7)</f>
        <v>8.1992719869424828</v>
      </c>
      <c r="C116">
        <f>SQRT('Inputs &amp; Outputs'!$B$4/'Inputs &amp; Outputs'!$B$5)*Calculations!$A$3*COS(SQRT('Inputs &amp; Outputs'!$B$4/'Inputs &amp; Outputs'!$B$5)*A116+Calculations!$A$7)</f>
        <v>-0.43930026295811242</v>
      </c>
      <c r="D116">
        <f>1/2*'Inputs &amp; Outputs'!$B$5*'Analytical Steps'!C116^2</f>
        <v>1.9298472103506672</v>
      </c>
      <c r="E116">
        <f>1/2*'Inputs &amp; Outputs'!$B$4*'Analytical Steps'!B116^2</f>
        <v>168.07015278964934</v>
      </c>
      <c r="F116">
        <f t="shared" si="1"/>
        <v>170</v>
      </c>
    </row>
    <row r="117" spans="1:6" x14ac:dyDescent="0.2">
      <c r="A117">
        <f>A116+'Inputs &amp; Outputs'!$B$6</f>
        <v>2.8902652413026169</v>
      </c>
      <c r="B117">
        <f>Calculations!$A$3*SIN(SQRT('Inputs &amp; Outputs'!$B$4/'Inputs &amp; Outputs'!$B$5)*A117+Calculations!$A$7)</f>
        <v>8.1875840776444289</v>
      </c>
      <c r="C117">
        <f>SQRT('Inputs &amp; Outputs'!$B$4/'Inputs &amp; Outputs'!$B$5)*Calculations!$A$3*COS(SQRT('Inputs &amp; Outputs'!$B$4/'Inputs &amp; Outputs'!$B$5)*A117+Calculations!$A$7)</f>
        <v>-0.49078176705727472</v>
      </c>
      <c r="D117">
        <f>1/2*'Inputs &amp; Outputs'!$B$5*'Analytical Steps'!C117^2</f>
        <v>2.4086674287586107</v>
      </c>
      <c r="E117">
        <f>1/2*'Inputs &amp; Outputs'!$B$4*'Analytical Steps'!B117^2</f>
        <v>167.59133257124145</v>
      </c>
      <c r="F117">
        <f t="shared" si="1"/>
        <v>170.00000000000006</v>
      </c>
    </row>
    <row r="118" spans="1:6" x14ac:dyDescent="0.2">
      <c r="A118">
        <f>A117+'Inputs &amp; Outputs'!$B$6</f>
        <v>2.9153979825313354</v>
      </c>
      <c r="B118">
        <f>Calculations!$A$3*SIN(SQRT('Inputs &amp; Outputs'!$B$4/'Inputs &amp; Outputs'!$B$5)*A118+Calculations!$A$7)</f>
        <v>8.1746032539070264</v>
      </c>
      <c r="C118">
        <f>SQRT('Inputs &amp; Outputs'!$B$4/'Inputs &amp; Outputs'!$B$5)*Calculations!$A$3*COS(SQRT('Inputs &amp; Outputs'!$B$4/'Inputs &amp; Outputs'!$B$5)*A118+Calculations!$A$7)</f>
        <v>-0.54218577102609589</v>
      </c>
      <c r="D118">
        <f>1/2*'Inputs &amp; Outputs'!$B$5*'Analytical Steps'!C118^2</f>
        <v>2.939654103031621</v>
      </c>
      <c r="E118">
        <f>1/2*'Inputs &amp; Outputs'!$B$4*'Analytical Steps'!B118^2</f>
        <v>167.06034589696833</v>
      </c>
      <c r="F118">
        <f t="shared" si="1"/>
        <v>169.99999999999994</v>
      </c>
    </row>
    <row r="119" spans="1:6" x14ac:dyDescent="0.2">
      <c r="A119">
        <f>A118+'Inputs &amp; Outputs'!$B$6</f>
        <v>2.940530723760054</v>
      </c>
      <c r="B119">
        <f>Calculations!$A$3*SIN(SQRT('Inputs &amp; Outputs'!$B$4/'Inputs &amp; Outputs'!$B$5)*A119+Calculations!$A$7)</f>
        <v>8.160331565552827</v>
      </c>
      <c r="C119">
        <f>SQRT('Inputs &amp; Outputs'!$B$4/'Inputs &amp; Outputs'!$B$5)*Calculations!$A$3*COS(SQRT('Inputs &amp; Outputs'!$B$4/'Inputs &amp; Outputs'!$B$5)*A119+Calculations!$A$7)</f>
        <v>-0.59350415757645525</v>
      </c>
      <c r="D119">
        <f>1/2*'Inputs &amp; Outputs'!$B$5*'Analytical Steps'!C119^2</f>
        <v>3.522471850605378</v>
      </c>
      <c r="E119">
        <f>1/2*'Inputs &amp; Outputs'!$B$4*'Analytical Steps'!B119^2</f>
        <v>166.47752814939463</v>
      </c>
      <c r="F119">
        <f t="shared" si="1"/>
        <v>170</v>
      </c>
    </row>
    <row r="120" spans="1:6" x14ac:dyDescent="0.2">
      <c r="A120">
        <f>A119+'Inputs &amp; Outputs'!$B$6</f>
        <v>2.9656634649887725</v>
      </c>
      <c r="B120">
        <f>Calculations!$A$3*SIN(SQRT('Inputs &amp; Outputs'!$B$4/'Inputs &amp; Outputs'!$B$5)*A120+Calculations!$A$7)</f>
        <v>8.1447712662468614</v>
      </c>
      <c r="C120">
        <f>SQRT('Inputs &amp; Outputs'!$B$4/'Inputs &amp; Outputs'!$B$5)*Calculations!$A$3*COS(SQRT('Inputs &amp; Outputs'!$B$4/'Inputs &amp; Outputs'!$B$5)*A120+Calculations!$A$7)</f>
        <v>-0.64472882294021483</v>
      </c>
      <c r="D120">
        <f>1/2*'Inputs &amp; Outputs'!$B$5*'Analytical Steps'!C120^2</f>
        <v>4.1567525512987489</v>
      </c>
      <c r="E120">
        <f>1/2*'Inputs &amp; Outputs'!$B$4*'Analytical Steps'!B120^2</f>
        <v>165.84324744870128</v>
      </c>
      <c r="F120">
        <f t="shared" si="1"/>
        <v>170.00000000000003</v>
      </c>
    </row>
    <row r="121" spans="1:6" x14ac:dyDescent="0.2">
      <c r="A121">
        <f>A120+'Inputs &amp; Outputs'!$B$6</f>
        <v>2.9907962062174911</v>
      </c>
      <c r="B121">
        <f>Calculations!$A$3*SIN(SQRT('Inputs &amp; Outputs'!$B$4/'Inputs &amp; Outputs'!$B$5)*A121+Calculations!$A$7)</f>
        <v>8.1279248131407709</v>
      </c>
      <c r="C121">
        <f>SQRT('Inputs &amp; Outputs'!$B$4/'Inputs &amp; Outputs'!$B$5)*Calculations!$A$3*COS(SQRT('Inputs &amp; Outputs'!$B$4/'Inputs &amp; Outputs'!$B$5)*A121+Calculations!$A$7)</f>
        <v>-0.69585167814889859</v>
      </c>
      <c r="D121">
        <f>1/2*'Inputs &amp; Outputs'!$B$5*'Analytical Steps'!C121^2</f>
        <v>4.8420955798263838</v>
      </c>
      <c r="E121">
        <f>1/2*'Inputs &amp; Outputs'!$B$4*'Analytical Steps'!B121^2</f>
        <v>165.15790442017359</v>
      </c>
      <c r="F121">
        <f t="shared" si="1"/>
        <v>169.99999999999997</v>
      </c>
    </row>
    <row r="122" spans="1:6" x14ac:dyDescent="0.2">
      <c r="A122">
        <f>A121+'Inputs &amp; Outputs'!$B$6</f>
        <v>3.0159289474462097</v>
      </c>
      <c r="B122">
        <f>Calculations!$A$3*SIN(SQRT('Inputs &amp; Outputs'!$B$4/'Inputs &amp; Outputs'!$B$5)*A122+Calculations!$A$7)</f>
        <v>8.1097948664847941</v>
      </c>
      <c r="C122">
        <f>SQRT('Inputs &amp; Outputs'!$B$4/'Inputs &amp; Outputs'!$B$5)*Calculations!$A$3*COS(SQRT('Inputs &amp; Outputs'!$B$4/'Inputs &amp; Outputs'!$B$5)*A122+Calculations!$A$7)</f>
        <v>-0.746864650311034</v>
      </c>
      <c r="D122">
        <f>1/2*'Inputs &amp; Outputs'!$B$5*'Analytical Steps'!C122^2</f>
        <v>5.5780680588422307</v>
      </c>
      <c r="E122">
        <f>1/2*'Inputs &amp; Outputs'!$B$4*'Analytical Steps'!B122^2</f>
        <v>164.42193194115782</v>
      </c>
      <c r="F122">
        <f t="shared" si="1"/>
        <v>170.00000000000006</v>
      </c>
    </row>
    <row r="123" spans="1:6" x14ac:dyDescent="0.2">
      <c r="A123">
        <f>A122+'Inputs &amp; Outputs'!$B$6</f>
        <v>3.0410616886749282</v>
      </c>
      <c r="B123">
        <f>Calculations!$A$3*SIN(SQRT('Inputs &amp; Outputs'!$B$4/'Inputs &amp; Outputs'!$B$5)*A123+Calculations!$A$7)</f>
        <v>8.0903842892076732</v>
      </c>
      <c r="C123">
        <f>SQRT('Inputs &amp; Outputs'!$B$4/'Inputs &amp; Outputs'!$B$5)*Calculations!$A$3*COS(SQRT('Inputs &amp; Outputs'!$B$4/'Inputs &amp; Outputs'!$B$5)*A123+Calculations!$A$7)</f>
        <v>-0.79775968388695562</v>
      </c>
      <c r="D123">
        <f>1/2*'Inputs &amp; Outputs'!$B$5*'Analytical Steps'!C123^2</f>
        <v>6.3642051323541535</v>
      </c>
      <c r="E123">
        <f>1/2*'Inputs &amp; Outputs'!$B$4*'Analytical Steps'!B123^2</f>
        <v>163.63579486764587</v>
      </c>
      <c r="F123">
        <f t="shared" si="1"/>
        <v>170.00000000000003</v>
      </c>
    </row>
    <row r="124" spans="1:6" x14ac:dyDescent="0.2">
      <c r="A124">
        <f>A123+'Inputs &amp; Outputs'!$B$6</f>
        <v>3.0661944299036468</v>
      </c>
      <c r="B124">
        <f>Calculations!$A$3*SIN(SQRT('Inputs &amp; Outputs'!$B$4/'Inputs &amp; Outputs'!$B$5)*A124+Calculations!$A$7)</f>
        <v>8.069696146464576</v>
      </c>
      <c r="C124">
        <f>SQRT('Inputs &amp; Outputs'!$B$4/'Inputs &amp; Outputs'!$B$5)*Calculations!$A$3*COS(SQRT('Inputs &amp; Outputs'!$B$4/'Inputs &amp; Outputs'!$B$5)*A124+Calculations!$A$7)</f>
        <v>-0.84852874196086781</v>
      </c>
      <c r="D124">
        <f>1/2*'Inputs &amp; Outputs'!$B$5*'Analytical Steps'!C124^2</f>
        <v>7.2000102593369295</v>
      </c>
      <c r="E124">
        <f>1/2*'Inputs &amp; Outputs'!$B$4*'Analytical Steps'!B124^2</f>
        <v>162.79998974066305</v>
      </c>
      <c r="F124">
        <f t="shared" si="1"/>
        <v>169.99999999999997</v>
      </c>
    </row>
    <row r="125" spans="1:6" x14ac:dyDescent="0.2">
      <c r="A125">
        <f>A124+'Inputs &amp; Outputs'!$B$6</f>
        <v>3.0913271711323653</v>
      </c>
      <c r="B125">
        <f>Calculations!$A$3*SIN(SQRT('Inputs &amp; Outputs'!$B$4/'Inputs &amp; Outputs'!$B$5)*A125+Calculations!$A$7)</f>
        <v>8.0477337051530675</v>
      </c>
      <c r="C125">
        <f>SQRT('Inputs &amp; Outputs'!$B$4/'Inputs &amp; Outputs'!$B$5)*Calculations!$A$3*COS(SQRT('Inputs &amp; Outputs'!$B$4/'Inputs &amp; Outputs'!$B$5)*A125+Calculations!$A$7)</f>
        <v>-0.89916380750996716</v>
      </c>
      <c r="D125">
        <f>1/2*'Inputs &amp; Outputs'!$B$5*'Analytical Steps'!C125^2</f>
        <v>8.084955527358213</v>
      </c>
      <c r="E125">
        <f>1/2*'Inputs &amp; Outputs'!$B$4*'Analytical Steps'!B125^2</f>
        <v>161.9150444726418</v>
      </c>
      <c r="F125">
        <f t="shared" si="1"/>
        <v>170</v>
      </c>
    </row>
    <row r="126" spans="1:6" x14ac:dyDescent="0.2">
      <c r="A126">
        <f>A125+'Inputs &amp; Outputs'!$B$6</f>
        <v>3.1164599123610839</v>
      </c>
      <c r="B126">
        <f>Calculations!$A$3*SIN(SQRT('Inputs &amp; Outputs'!$B$4/'Inputs &amp; Outputs'!$B$5)*A126+Calculations!$A$7)</f>
        <v>8.0245004333972254</v>
      </c>
      <c r="C126">
        <f>SQRT('Inputs &amp; Outputs'!$B$4/'Inputs &amp; Outputs'!$B$5)*Calculations!$A$3*COS(SQRT('Inputs &amp; Outputs'!$B$4/'Inputs &amp; Outputs'!$B$5)*A126+Calculations!$A$7)</f>
        <v>-0.9496568846704232</v>
      </c>
      <c r="D126">
        <f>1/2*'Inputs &amp; Outputs'!$B$5*'Analytical Steps'!C126^2</f>
        <v>9.018481986019335</v>
      </c>
      <c r="E126">
        <f>1/2*'Inputs &amp; Outputs'!$B$4*'Analytical Steps'!B126^2</f>
        <v>160.98151801398063</v>
      </c>
      <c r="F126">
        <f t="shared" si="1"/>
        <v>169.99999999999997</v>
      </c>
    </row>
    <row r="127" spans="1:6" x14ac:dyDescent="0.2">
      <c r="A127">
        <f>A126+'Inputs &amp; Outputs'!$B$6</f>
        <v>3.1415926535898024</v>
      </c>
      <c r="B127">
        <f>Calculations!$A$3*SIN(SQRT('Inputs &amp; Outputs'!$B$4/'Inputs &amp; Outputs'!$B$5)*A127+Calculations!$A$7)</f>
        <v>7.9999999999999911</v>
      </c>
      <c r="C127">
        <f>SQRT('Inputs &amp; Outputs'!$B$4/'Inputs &amp; Outputs'!$B$5)*Calculations!$A$3*COS(SQRT('Inputs &amp; Outputs'!$B$4/'Inputs &amp; Outputs'!$B$5)*A127+Calculations!$A$7)</f>
        <v>-1.0000000000000178</v>
      </c>
      <c r="D127">
        <f>1/2*'Inputs &amp; Outputs'!$B$5*'Analytical Steps'!C127^2</f>
        <v>10.000000000000355</v>
      </c>
      <c r="E127">
        <f>1/2*'Inputs &amp; Outputs'!$B$4*'Analytical Steps'!B127^2</f>
        <v>159.99999999999966</v>
      </c>
      <c r="F127">
        <f t="shared" si="1"/>
        <v>170</v>
      </c>
    </row>
    <row r="128" spans="1:6" x14ac:dyDescent="0.2">
      <c r="A128">
        <f>A127+'Inputs &amp; Outputs'!$B$6</f>
        <v>3.166725394818521</v>
      </c>
      <c r="B128">
        <f>Calculations!$A$3*SIN(SQRT('Inputs &amp; Outputs'!$B$4/'Inputs &amp; Outputs'!$B$5)*A128+Calculations!$A$7)</f>
        <v>7.9742362738638137</v>
      </c>
      <c r="C128">
        <f>SQRT('Inputs &amp; Outputs'!$B$4/'Inputs &amp; Outputs'!$B$5)*Calculations!$A$3*COS(SQRT('Inputs &amp; Outputs'!$B$4/'Inputs &amp; Outputs'!$B$5)*A128+Calculations!$A$7)</f>
        <v>-1.0501852037372448</v>
      </c>
      <c r="D128">
        <f>1/2*'Inputs &amp; Outputs'!$B$5*'Analytical Steps'!C128^2</f>
        <v>11.028889621486384</v>
      </c>
      <c r="E128">
        <f>1/2*'Inputs &amp; Outputs'!$B$4*'Analytical Steps'!B128^2</f>
        <v>158.9711103785136</v>
      </c>
      <c r="F128">
        <f t="shared" si="1"/>
        <v>169.99999999999997</v>
      </c>
    </row>
    <row r="129" spans="1:6" x14ac:dyDescent="0.2">
      <c r="A129">
        <f>A128+'Inputs &amp; Outputs'!$B$6</f>
        <v>3.1918581360472396</v>
      </c>
      <c r="B129">
        <f>Calculations!$A$3*SIN(SQRT('Inputs &amp; Outputs'!$B$4/'Inputs &amp; Outputs'!$B$5)*A129+Calculations!$A$7)</f>
        <v>7.9472133233797146</v>
      </c>
      <c r="C129">
        <f>SQRT('Inputs &amp; Outputs'!$B$4/'Inputs &amp; Outputs'!$B$5)*Calculations!$A$3*COS(SQRT('Inputs &amp; Outputs'!$B$4/'Inputs &amp; Outputs'!$B$5)*A129+Calculations!$A$7)</f>
        <v>-1.1002045710566684</v>
      </c>
      <c r="D129">
        <f>1/2*'Inputs &amp; Outputs'!$B$5*'Analytical Steps'!C129^2</f>
        <v>12.104500981739877</v>
      </c>
      <c r="E129">
        <f>1/2*'Inputs &amp; Outputs'!$B$4*'Analytical Steps'!B129^2</f>
        <v>157.89549901826013</v>
      </c>
      <c r="F129">
        <f t="shared" si="1"/>
        <v>170</v>
      </c>
    </row>
    <row r="130" spans="1:6" x14ac:dyDescent="0.2">
      <c r="A130">
        <f>A129+'Inputs &amp; Outputs'!$B$6</f>
        <v>3.2169908772759581</v>
      </c>
      <c r="B130">
        <f>Calculations!$A$3*SIN(SQRT('Inputs &amp; Outputs'!$B$4/'Inputs &amp; Outputs'!$B$5)*A130+Calculations!$A$7)</f>
        <v>7.9189354157848335</v>
      </c>
      <c r="C130">
        <f>SQRT('Inputs &amp; Outputs'!$B$4/'Inputs &amp; Outputs'!$B$5)*Calculations!$A$3*COS(SQRT('Inputs &amp; Outputs'!$B$4/'Inputs &amp; Outputs'!$B$5)*A130+Calculations!$A$7)</f>
        <v>-1.1500502033203464</v>
      </c>
      <c r="D130">
        <f>1/2*'Inputs &amp; Outputs'!$B$5*'Analytical Steps'!C130^2</f>
        <v>13.2261547015717</v>
      </c>
      <c r="E130">
        <f>1/2*'Inputs &amp; Outputs'!$B$4*'Analytical Steps'!B130^2</f>
        <v>156.77384529842828</v>
      </c>
      <c r="F130">
        <f t="shared" si="1"/>
        <v>169.99999999999997</v>
      </c>
    </row>
    <row r="131" spans="1:6" x14ac:dyDescent="0.2">
      <c r="A131">
        <f>A130+'Inputs &amp; Outputs'!$B$6</f>
        <v>3.2421236185046767</v>
      </c>
      <c r="B131">
        <f>Calculations!$A$3*SIN(SQRT('Inputs &amp; Outputs'!$B$4/'Inputs &amp; Outputs'!$B$5)*A131+Calculations!$A$7)</f>
        <v>7.8894070164885894</v>
      </c>
      <c r="C131">
        <f>SQRT('Inputs &amp; Outputs'!$B$4/'Inputs &amp; Outputs'!$B$5)*Calculations!$A$3*COS(SQRT('Inputs &amp; Outputs'!$B$4/'Inputs &amp; Outputs'!$B$5)*A131+Calculations!$A$7)</f>
        <v>-1.1997142293251148</v>
      </c>
      <c r="D131">
        <f>1/2*'Inputs &amp; Outputs'!$B$5*'Analytical Steps'!C131^2</f>
        <v>14.393142320451542</v>
      </c>
      <c r="E131">
        <f>1/2*'Inputs &amp; Outputs'!$B$4*'Analytical Steps'!B131^2</f>
        <v>155.60685767954845</v>
      </c>
      <c r="F131">
        <f t="shared" ref="F131:F194" si="2">SUM(D131:E131)</f>
        <v>170</v>
      </c>
    </row>
    <row r="132" spans="1:6" x14ac:dyDescent="0.2">
      <c r="A132">
        <f>A131+'Inputs &amp; Outputs'!$B$6</f>
        <v>3.2672563597333952</v>
      </c>
      <c r="B132">
        <f>Calculations!$A$3*SIN(SQRT('Inputs &amp; Outputs'!$B$4/'Inputs &amp; Outputs'!$B$5)*A132+Calculations!$A$7)</f>
        <v>7.8586327883675331</v>
      </c>
      <c r="C132">
        <f>SQRT('Inputs &amp; Outputs'!$B$4/'Inputs &amp; Outputs'!$B$5)*Calculations!$A$3*COS(SQRT('Inputs &amp; Outputs'!$B$4/'Inputs &amp; Outputs'!$B$5)*A132+Calculations!$A$7)</f>
        <v>-1.2491888065455448</v>
      </c>
      <c r="D132">
        <f>1/2*'Inputs &amp; Outputs'!$B$5*'Analytical Steps'!C132^2</f>
        <v>15.604726743986825</v>
      </c>
      <c r="E132">
        <f>1/2*'Inputs &amp; Outputs'!$B$4*'Analytical Steps'!B132^2</f>
        <v>154.39527325601316</v>
      </c>
      <c r="F132">
        <f t="shared" si="2"/>
        <v>169.99999999999997</v>
      </c>
    </row>
    <row r="133" spans="1:6" x14ac:dyDescent="0.2">
      <c r="A133">
        <f>A132+'Inputs &amp; Outputs'!$B$6</f>
        <v>3.2923891009621138</v>
      </c>
      <c r="B133">
        <f>Calculations!$A$3*SIN(SQRT('Inputs &amp; Outputs'!$B$4/'Inputs &amp; Outputs'!$B$5)*A133+Calculations!$A$7)</f>
        <v>7.8266175910290325</v>
      </c>
      <c r="C133">
        <f>SQRT('Inputs &amp; Outputs'!$B$4/'Inputs &amp; Outputs'!$B$5)*Calculations!$A$3*COS(SQRT('Inputs &amp; Outputs'!$B$4/'Inputs &amp; Outputs'!$B$5)*A133+Calculations!$A$7)</f>
        <v>-1.2984661223723646</v>
      </c>
      <c r="D133">
        <f>1/2*'Inputs &amp; Outputs'!$B$5*'Analytical Steps'!C133^2</f>
        <v>16.860142709487246</v>
      </c>
      <c r="E133">
        <f>1/2*'Inputs &amp; Outputs'!$B$4*'Analytical Steps'!B133^2</f>
        <v>153.13985729051274</v>
      </c>
      <c r="F133">
        <f t="shared" si="2"/>
        <v>169.99999999999997</v>
      </c>
    </row>
    <row r="134" spans="1:6" x14ac:dyDescent="0.2">
      <c r="A134">
        <f>A133+'Inputs &amp; Outputs'!$B$6</f>
        <v>3.3175218421908323</v>
      </c>
      <c r="B134">
        <f>Calculations!$A$3*SIN(SQRT('Inputs &amp; Outputs'!$B$4/'Inputs &amp; Outputs'!$B$5)*A134+Calculations!$A$7)</f>
        <v>7.7933664800438791</v>
      </c>
      <c r="C134">
        <f>SQRT('Inputs &amp; Outputs'!$B$4/'Inputs &amp; Outputs'!$B$5)*Calculations!$A$3*COS(SQRT('Inputs &amp; Outputs'!$B$4/'Inputs &amp; Outputs'!$B$5)*A134+Calculations!$A$7)</f>
        <v>-1.3475383953461655</v>
      </c>
      <c r="D134">
        <f>1/2*'Inputs &amp; Outputs'!$B$5*'Analytical Steps'!C134^2</f>
        <v>18.158597269321184</v>
      </c>
      <c r="E134">
        <f>1/2*'Inputs &amp; Outputs'!$B$4*'Analytical Steps'!B134^2</f>
        <v>151.84140273067879</v>
      </c>
      <c r="F134">
        <f t="shared" si="2"/>
        <v>169.99999999999997</v>
      </c>
    </row>
    <row r="135" spans="1:6" x14ac:dyDescent="0.2">
      <c r="A135">
        <f>A134+'Inputs &amp; Outputs'!$B$6</f>
        <v>3.3426545834195509</v>
      </c>
      <c r="B135">
        <f>Calculations!$A$3*SIN(SQRT('Inputs &amp; Outputs'!$B$4/'Inputs &amp; Outputs'!$B$5)*A135+Calculations!$A$7)</f>
        <v>7.7588847061479562</v>
      </c>
      <c r="C135">
        <f>SQRT('Inputs &amp; Outputs'!$B$4/'Inputs &amp; Outputs'!$B$5)*Calculations!$A$3*COS(SQRT('Inputs &amp; Outputs'!$B$4/'Inputs &amp; Outputs'!$B$5)*A135+Calculations!$A$7)</f>
        <v>-1.3963978763861802</v>
      </c>
      <c r="D135">
        <f>1/2*'Inputs &amp; Outputs'!$B$5*'Analytical Steps'!C135^2</f>
        <v>19.499270291758336</v>
      </c>
      <c r="E135">
        <f>1/2*'Inputs &amp; Outputs'!$B$4*'Analytical Steps'!B135^2</f>
        <v>150.50072970824164</v>
      </c>
      <c r="F135">
        <f t="shared" si="2"/>
        <v>169.99999999999997</v>
      </c>
    </row>
    <row r="136" spans="1:6" x14ac:dyDescent="0.2">
      <c r="A136">
        <f>A135+'Inputs &amp; Outputs'!$B$6</f>
        <v>3.3677873246482695</v>
      </c>
      <c r="B136">
        <f>Calculations!$A$3*SIN(SQRT('Inputs &amp; Outputs'!$B$4/'Inputs &amp; Outputs'!$B$5)*A136+Calculations!$A$7)</f>
        <v>7.7231777144130884</v>
      </c>
      <c r="C136">
        <f>SQRT('Inputs &amp; Outputs'!$B$4/'Inputs &amp; Outputs'!$B$5)*Calculations!$A$3*COS(SQRT('Inputs &amp; Outputs'!$B$4/'Inputs &amp; Outputs'!$B$5)*A136+Calculations!$A$7)</f>
        <v>-1.4450368500139561</v>
      </c>
      <c r="D136">
        <f>1/2*'Inputs &amp; Outputs'!$B$5*'Analytical Steps'!C136^2</f>
        <v>20.881314978982566</v>
      </c>
      <c r="E136">
        <f>1/2*'Inputs &amp; Outputs'!$B$4*'Analytical Steps'!B136^2</f>
        <v>149.11868502101743</v>
      </c>
      <c r="F136">
        <f t="shared" si="2"/>
        <v>170</v>
      </c>
    </row>
    <row r="137" spans="1:6" x14ac:dyDescent="0.2">
      <c r="A137">
        <f>A136+'Inputs &amp; Outputs'!$B$6</f>
        <v>3.392920065876988</v>
      </c>
      <c r="B137">
        <f>Calculations!$A$3*SIN(SQRT('Inputs &amp; Outputs'!$B$4/'Inputs &amp; Outputs'!$B$5)*A137+Calculations!$A$7)</f>
        <v>7.6862511433871976</v>
      </c>
      <c r="C137">
        <f>SQRT('Inputs &amp; Outputs'!$B$4/'Inputs &amp; Outputs'!$B$5)*Calculations!$A$3*COS(SQRT('Inputs &amp; Outputs'!$B$4/'Inputs &amp; Outputs'!$B$5)*A137+Calculations!$A$7)</f>
        <v>-1.4934476355717161</v>
      </c>
      <c r="D137">
        <f>1/2*'Inputs &amp; Outputs'!$B$5*'Analytical Steps'!C137^2</f>
        <v>22.303858401947494</v>
      </c>
      <c r="E137">
        <f>1/2*'Inputs &amp; Outputs'!$B$4*'Analytical Steps'!B137^2</f>
        <v>147.69614159805252</v>
      </c>
      <c r="F137">
        <f t="shared" si="2"/>
        <v>170</v>
      </c>
    </row>
    <row r="138" spans="1:6" x14ac:dyDescent="0.2">
      <c r="A138">
        <f>A137+'Inputs &amp; Outputs'!$B$6</f>
        <v>3.4180528071057066</v>
      </c>
      <c r="B138">
        <f>Calculations!$A$3*SIN(SQRT('Inputs &amp; Outputs'!$B$4/'Inputs &amp; Outputs'!$B$5)*A138+Calculations!$A$7)</f>
        <v>7.6481108242039157</v>
      </c>
      <c r="C138">
        <f>SQRT('Inputs &amp; Outputs'!$B$4/'Inputs &amp; Outputs'!$B$5)*Calculations!$A$3*COS(SQRT('Inputs &amp; Outputs'!$B$4/'Inputs &amp; Outputs'!$B$5)*A138+Calculations!$A$7)</f>
        <v>-1.541622588435225</v>
      </c>
      <c r="D138">
        <f>1/2*'Inputs &amp; Outputs'!$B$5*'Analytical Steps'!C138^2</f>
        <v>23.766002051737232</v>
      </c>
      <c r="E138">
        <f>1/2*'Inputs &amp; Outputs'!$B$4*'Analytical Steps'!B138^2</f>
        <v>146.23399794826275</v>
      </c>
      <c r="F138">
        <f t="shared" si="2"/>
        <v>170</v>
      </c>
    </row>
    <row r="139" spans="1:6" x14ac:dyDescent="0.2">
      <c r="A139">
        <f>A138+'Inputs &amp; Outputs'!$B$6</f>
        <v>3.4431855483344251</v>
      </c>
      <c r="B139">
        <f>Calculations!$A$3*SIN(SQRT('Inputs &amp; Outputs'!$B$4/'Inputs &amp; Outputs'!$B$5)*A139+Calculations!$A$7)</f>
        <v>7.6087627796617801</v>
      </c>
      <c r="C139">
        <f>SQRT('Inputs &amp; Outputs'!$B$4/'Inputs &amp; Outputs'!$B$5)*Calculations!$A$3*COS(SQRT('Inputs &amp; Outputs'!$B$4/'Inputs &amp; Outputs'!$B$5)*A139+Calculations!$A$7)</f>
        <v>-1.5895541012209642</v>
      </c>
      <c r="D139">
        <f>1/2*'Inputs &amp; Outputs'!$B$5*'Analytical Steps'!C139^2</f>
        <v>25.266822407083872</v>
      </c>
      <c r="E139">
        <f>1/2*'Inputs &amp; Outputs'!$B$4*'Analytical Steps'!B139^2</f>
        <v>144.73317759291615</v>
      </c>
      <c r="F139">
        <f t="shared" si="2"/>
        <v>170.00000000000003</v>
      </c>
    </row>
    <row r="140" spans="1:6" x14ac:dyDescent="0.2">
      <c r="A140">
        <f>A139+'Inputs &amp; Outputs'!$B$6</f>
        <v>3.4683182895631437</v>
      </c>
      <c r="B140">
        <f>Calculations!$A$3*SIN(SQRT('Inputs &amp; Outputs'!$B$4/'Inputs &amp; Outputs'!$B$5)*A140+Calculations!$A$7)</f>
        <v>7.5682132232731583</v>
      </c>
      <c r="C140">
        <f>SQRT('Inputs &amp; Outputs'!$B$4/'Inputs &amp; Outputs'!$B$5)*Calculations!$A$3*COS(SQRT('Inputs &amp; Outputs'!$B$4/'Inputs &amp; Outputs'!$B$5)*A140+Calculations!$A$7)</f>
        <v>-1.6372346049874245</v>
      </c>
      <c r="D140">
        <f>1/2*'Inputs &amp; Outputs'!$B$5*'Analytical Steps'!C140^2</f>
        <v>26.805371517683277</v>
      </c>
      <c r="E140">
        <f>1/2*'Inputs &amp; Outputs'!$B$4*'Analytical Steps'!B140^2</f>
        <v>143.19462848231672</v>
      </c>
      <c r="F140">
        <f t="shared" si="2"/>
        <v>170</v>
      </c>
    </row>
    <row r="141" spans="1:6" x14ac:dyDescent="0.2">
      <c r="A141">
        <f>A140+'Inputs &amp; Outputs'!$B$6</f>
        <v>3.4934510307918623</v>
      </c>
      <c r="B141">
        <f>Calculations!$A$3*SIN(SQRT('Inputs &amp; Outputs'!$B$4/'Inputs &amp; Outputs'!$B$5)*A141+Calculations!$A$7)</f>
        <v>7.5264685582830717</v>
      </c>
      <c r="C141">
        <f>SQRT('Inputs &amp; Outputs'!$B$4/'Inputs &amp; Outputs'!$B$5)*Calculations!$A$3*COS(SQRT('Inputs &amp; Outputs'!$B$4/'Inputs &amp; Outputs'!$B$5)*A141+Calculations!$A$7)</f>
        <v>-1.684656570430332</v>
      </c>
      <c r="D141">
        <f>1/2*'Inputs &amp; Outputs'!$B$5*'Analytical Steps'!C141^2</f>
        <v>28.380677602940882</v>
      </c>
      <c r="E141">
        <f>1/2*'Inputs &amp; Outputs'!$B$4*'Analytical Steps'!B141^2</f>
        <v>141.61932239705916</v>
      </c>
      <c r="F141">
        <f t="shared" si="2"/>
        <v>170.00000000000006</v>
      </c>
    </row>
    <row r="142" spans="1:6" x14ac:dyDescent="0.2">
      <c r="A142">
        <f>A141+'Inputs &amp; Outputs'!$B$6</f>
        <v>3.5185837720205808</v>
      </c>
      <c r="B142">
        <f>Calculations!$A$3*SIN(SQRT('Inputs &amp; Outputs'!$B$4/'Inputs &amp; Outputs'!$B$5)*A142+Calculations!$A$7)</f>
        <v>7.4835353766580388</v>
      </c>
      <c r="C142">
        <f>SQRT('Inputs &amp; Outputs'!$B$4/'Inputs &amp; Outputs'!$B$5)*Calculations!$A$3*COS(SQRT('Inputs &amp; Outputs'!$B$4/'Inputs &amp; Outputs'!$B$5)*A142+Calculations!$A$7)</f>
        <v>-1.7318125090716097</v>
      </c>
      <c r="D142">
        <f>1/2*'Inputs &amp; Outputs'!$B$5*'Analytical Steps'!C142^2</f>
        <v>29.991745665769042</v>
      </c>
      <c r="E142">
        <f>1/2*'Inputs &amp; Outputs'!$B$4*'Analytical Steps'!B142^2</f>
        <v>140.00825433423094</v>
      </c>
      <c r="F142">
        <f t="shared" si="2"/>
        <v>169.99999999999997</v>
      </c>
    </row>
    <row r="143" spans="1:6" x14ac:dyDescent="0.2">
      <c r="A143">
        <f>A142+'Inputs &amp; Outputs'!$B$6</f>
        <v>3.5437165132492994</v>
      </c>
      <c r="B143">
        <f>Calculations!$A$3*SIN(SQRT('Inputs &amp; Outputs'!$B$4/'Inputs &amp; Outputs'!$B$5)*A143+Calculations!$A$7)</f>
        <v>7.4394204580451397</v>
      </c>
      <c r="C143">
        <f>SQRT('Inputs &amp; Outputs'!$B$4/'Inputs &amp; Outputs'!$B$5)*Calculations!$A$3*COS(SQRT('Inputs &amp; Outputs'!$B$4/'Inputs &amp; Outputs'!$B$5)*A143+Calculations!$A$7)</f>
        <v>-1.7786949744418978</v>
      </c>
      <c r="D143">
        <f>1/2*'Inputs &amp; Outputs'!$B$5*'Analytical Steps'!C143^2</f>
        <v>31.637558121048635</v>
      </c>
      <c r="E143">
        <f>1/2*'Inputs &amp; Outputs'!$B$4*'Analytical Steps'!B143^2</f>
        <v>138.36244187895139</v>
      </c>
      <c r="F143">
        <f t="shared" si="2"/>
        <v>170.00000000000003</v>
      </c>
    </row>
    <row r="144" spans="1:6" x14ac:dyDescent="0.2">
      <c r="A144">
        <f>A143+'Inputs &amp; Outputs'!$B$6</f>
        <v>3.5688492544780179</v>
      </c>
      <c r="B144">
        <f>Calculations!$A$3*SIN(SQRT('Inputs &amp; Outputs'!$B$4/'Inputs &amp; Outputs'!$B$5)*A144+Calculations!$A$7)</f>
        <v>7.3941307687014159</v>
      </c>
      <c r="C144">
        <f>SQRT('Inputs &amp; Outputs'!$B$4/'Inputs &amp; Outputs'!$B$5)*Calculations!$A$3*COS(SQRT('Inputs &amp; Outputs'!$B$4/'Inputs &amp; Outputs'!$B$5)*A144+Calculations!$A$7)</f>
        <v>-1.8252965632564351</v>
      </c>
      <c r="D144">
        <f>1/2*'Inputs &amp; Outputs'!$B$5*'Analytical Steps'!C144^2</f>
        <v>33.317075438357534</v>
      </c>
      <c r="E144">
        <f>1/2*'Inputs &amp; Outputs'!$B$4*'Analytical Steps'!B144^2</f>
        <v>136.68292456164249</v>
      </c>
      <c r="F144">
        <f t="shared" si="2"/>
        <v>170.00000000000003</v>
      </c>
    </row>
    <row r="145" spans="1:6" x14ac:dyDescent="0.2">
      <c r="A145">
        <f>A144+'Inputs &amp; Outputs'!$B$6</f>
        <v>3.5939819957067365</v>
      </c>
      <c r="B145">
        <f>Calculations!$A$3*SIN(SQRT('Inputs &amp; Outputs'!$B$4/'Inputs &amp; Outputs'!$B$5)*A145+Calculations!$A$7)</f>
        <v>7.3476734603938318</v>
      </c>
      <c r="C145">
        <f>SQRT('Inputs &amp; Outputs'!$B$4/'Inputs &amp; Outputs'!$B$5)*Calculations!$A$3*COS(SQRT('Inputs &amp; Outputs'!$B$4/'Inputs &amp; Outputs'!$B$5)*A145+Calculations!$A$7)</f>
        <v>-1.8716099165841253</v>
      </c>
      <c r="D145">
        <f>1/2*'Inputs &amp; Outputs'!$B$5*'Analytical Steps'!C145^2</f>
        <v>35.029236798560369</v>
      </c>
      <c r="E145">
        <f>1/2*'Inputs &amp; Outputs'!$B$4*'Analytical Steps'!B145^2</f>
        <v>134.97076320143967</v>
      </c>
      <c r="F145">
        <f t="shared" si="2"/>
        <v>170.00000000000003</v>
      </c>
    </row>
    <row r="146" spans="1:6" x14ac:dyDescent="0.2">
      <c r="A146">
        <f>A145+'Inputs &amp; Outputs'!$B$6</f>
        <v>3.619114736935455</v>
      </c>
      <c r="B146">
        <f>Calculations!$A$3*SIN(SQRT('Inputs &amp; Outputs'!$B$4/'Inputs &amp; Outputs'!$B$5)*A146+Calculations!$A$7)</f>
        <v>7.3000558692699178</v>
      </c>
      <c r="C146">
        <f>SQRT('Inputs &amp; Outputs'!$B$4/'Inputs &amp; Outputs'!$B$5)*Calculations!$A$3*COS(SQRT('Inputs &amp; Outputs'!$B$4/'Inputs &amp; Outputs'!$B$5)*A146+Calculations!$A$7)</f>
        <v>-1.9176277210095964</v>
      </c>
      <c r="D146">
        <f>1/2*'Inputs &amp; Outputs'!$B$5*'Analytical Steps'!C146^2</f>
        <v>36.772960763844587</v>
      </c>
      <c r="E146">
        <f>1/2*'Inputs &amp; Outputs'!$B$4*'Analytical Steps'!B146^2</f>
        <v>133.22703923615543</v>
      </c>
      <c r="F146">
        <f t="shared" si="2"/>
        <v>170.00000000000003</v>
      </c>
    </row>
    <row r="147" spans="1:6" x14ac:dyDescent="0.2">
      <c r="A147">
        <f>A146+'Inputs &amp; Outputs'!$B$6</f>
        <v>3.6442474781641736</v>
      </c>
      <c r="B147">
        <f>Calculations!$A$3*SIN(SQRT('Inputs &amp; Outputs'!$B$4/'Inputs &amp; Outputs'!$B$5)*A147+Calculations!$A$7)</f>
        <v>7.2512855146993136</v>
      </c>
      <c r="C147">
        <f>SQRT('Inputs &amp; Outputs'!$B$4/'Inputs &amp; Outputs'!$B$5)*Calculations!$A$3*COS(SQRT('Inputs &amp; Outputs'!$B$4/'Inputs &amp; Outputs'!$B$5)*A147+Calculations!$A$7)</f>
        <v>-1.963342709788074</v>
      </c>
      <c r="D147">
        <f>1/2*'Inputs &amp; Outputs'!$B$5*'Analytical Steps'!C147^2</f>
        <v>38.547145960779773</v>
      </c>
      <c r="E147">
        <f>1/2*'Inputs &amp; Outputs'!$B$4*'Analytical Steps'!B147^2</f>
        <v>131.45285403922023</v>
      </c>
      <c r="F147">
        <f t="shared" si="2"/>
        <v>170</v>
      </c>
    </row>
    <row r="148" spans="1:6" x14ac:dyDescent="0.2">
      <c r="A148">
        <f>A147+'Inputs &amp; Outputs'!$B$6</f>
        <v>3.6693802193928922</v>
      </c>
      <c r="B148">
        <f>Calculations!$A$3*SIN(SQRT('Inputs &amp; Outputs'!$B$4/'Inputs &amp; Outputs'!$B$5)*A148+Calculations!$A$7)</f>
        <v>7.20137009808637</v>
      </c>
      <c r="C148">
        <f>SQRT('Inputs &amp; Outputs'!$B$4/'Inputs &amp; Outputs'!$B$5)*Calculations!$A$3*COS(SQRT('Inputs &amp; Outputs'!$B$4/'Inputs &amp; Outputs'!$B$5)*A148+Calculations!$A$7)</f>
        <v>-2.0087476639928856</v>
      </c>
      <c r="D148">
        <f>1/2*'Inputs &amp; Outputs'!$B$5*'Analytical Steps'!C148^2</f>
        <v>40.350671775968749</v>
      </c>
      <c r="E148">
        <f>1/2*'Inputs &amp; Outputs'!$B$4*'Analytical Steps'!B148^2</f>
        <v>129.64932822403122</v>
      </c>
      <c r="F148">
        <f t="shared" si="2"/>
        <v>169.99999999999997</v>
      </c>
    </row>
    <row r="149" spans="1:6" x14ac:dyDescent="0.2">
      <c r="A149">
        <f>A148+'Inputs &amp; Outputs'!$B$6</f>
        <v>3.6945129606216107</v>
      </c>
      <c r="B149">
        <f>Calculations!$A$3*SIN(SQRT('Inputs &amp; Outputs'!$B$4/'Inputs &amp; Outputs'!$B$5)*A149+Calculations!$A$7)</f>
        <v>7.1503175016540093</v>
      </c>
      <c r="C149">
        <f>SQRT('Inputs &amp; Outputs'!$B$4/'Inputs &amp; Outputs'!$B$5)*Calculations!$A$3*COS(SQRT('Inputs &amp; Outputs'!$B$4/'Inputs &amp; Outputs'!$B$5)*A149+Calculations!$A$7)</f>
        <v>-2.0538354136554111</v>
      </c>
      <c r="D149">
        <f>1/2*'Inputs &amp; Outputs'!$B$5*'Analytical Steps'!C149^2</f>
        <v>42.182399063850937</v>
      </c>
      <c r="E149">
        <f>1/2*'Inputs &amp; Outputs'!$B$4*'Analytical Steps'!B149^2</f>
        <v>127.81760093614908</v>
      </c>
      <c r="F149">
        <f t="shared" si="2"/>
        <v>170</v>
      </c>
    </row>
    <row r="150" spans="1:6" x14ac:dyDescent="0.2">
      <c r="A150">
        <f>A149+'Inputs &amp; Outputs'!$B$6</f>
        <v>3.7196457018503293</v>
      </c>
      <c r="B150">
        <f>Calculations!$A$3*SIN(SQRT('Inputs &amp; Outputs'!$B$4/'Inputs &amp; Outputs'!$B$5)*A150+Calculations!$A$7)</f>
        <v>7.098135787199026</v>
      </c>
      <c r="C150">
        <f>SQRT('Inputs &amp; Outputs'!$B$4/'Inputs &amp; Outputs'!$B$5)*Calculations!$A$3*COS(SQRT('Inputs &amp; Outputs'!$B$4/'Inputs &amp; Outputs'!$B$5)*A150+Calculations!$A$7)</f>
        <v>-2.0985988388973049</v>
      </c>
      <c r="D150">
        <f>1/2*'Inputs &amp; Outputs'!$B$5*'Analytical Steps'!C150^2</f>
        <v>44.041170866211168</v>
      </c>
      <c r="E150">
        <f>1/2*'Inputs &amp; Outputs'!$B$4*'Analytical Steps'!B150^2</f>
        <v>125.95882913378885</v>
      </c>
      <c r="F150">
        <f t="shared" si="2"/>
        <v>170.00000000000003</v>
      </c>
    </row>
    <row r="151" spans="1:6" x14ac:dyDescent="0.2">
      <c r="A151">
        <f>A150+'Inputs &amp; Outputs'!$B$6</f>
        <v>3.7447784430790478</v>
      </c>
      <c r="B151">
        <f>Calculations!$A$3*SIN(SQRT('Inputs &amp; Outputs'!$B$4/'Inputs &amp; Outputs'!$B$5)*A151+Calculations!$A$7)</f>
        <v>7.0448331948190432</v>
      </c>
      <c r="C151">
        <f>SQRT('Inputs &amp; Outputs'!$B$4/'Inputs &amp; Outputs'!$B$5)*Calculations!$A$3*COS(SQRT('Inputs &amp; Outputs'!$B$4/'Inputs &amp; Outputs'!$B$5)*A151+Calculations!$A$7)</f>
        <v>-2.1430308710548074</v>
      </c>
      <c r="D151">
        <f>1/2*'Inputs &amp; Outputs'!$B$5*'Analytical Steps'!C151^2</f>
        <v>45.925813142939269</v>
      </c>
      <c r="E151">
        <f>1/2*'Inputs &amp; Outputs'!$B$4*'Analytical Steps'!B151^2</f>
        <v>124.07418685706071</v>
      </c>
      <c r="F151">
        <f t="shared" si="2"/>
        <v>169.99999999999997</v>
      </c>
    </row>
    <row r="152" spans="1:6" x14ac:dyDescent="0.2">
      <c r="A152">
        <f>A151+'Inputs &amp; Outputs'!$B$6</f>
        <v>3.7699111843077664</v>
      </c>
      <c r="B152">
        <f>Calculations!$A$3*SIN(SQRT('Inputs &amp; Outputs'!$B$4/'Inputs &amp; Outputs'!$B$5)*A152+Calculations!$A$7)</f>
        <v>6.9904181416113031</v>
      </c>
      <c r="C152">
        <f>SQRT('Inputs &amp; Outputs'!$B$4/'Inputs &amp; Outputs'!$B$5)*Calculations!$A$3*COS(SQRT('Inputs &amp; Outputs'!$B$4/'Inputs &amp; Outputs'!$B$5)*A152+Calculations!$A$7)</f>
        <v>-2.1871244937949683</v>
      </c>
      <c r="D152">
        <f>1/2*'Inputs &amp; Outputs'!$B$5*'Analytical Steps'!C152^2</f>
        <v>47.835135513578962</v>
      </c>
      <c r="E152">
        <f>1/2*'Inputs &amp; Outputs'!$B$4*'Analytical Steps'!B152^2</f>
        <v>122.16486448642107</v>
      </c>
      <c r="F152">
        <f t="shared" si="2"/>
        <v>170.00000000000003</v>
      </c>
    </row>
    <row r="153" spans="1:6" x14ac:dyDescent="0.2">
      <c r="A153">
        <f>A152+'Inputs &amp; Outputs'!$B$6</f>
        <v>3.795043925536485</v>
      </c>
      <c r="B153">
        <f>Calculations!$A$3*SIN(SQRT('Inputs &amp; Outputs'!$B$4/'Inputs &amp; Outputs'!$B$5)*A153+Calculations!$A$7)</f>
        <v>6.9348992203435031</v>
      </c>
      <c r="C153">
        <f>SQRT('Inputs &amp; Outputs'!$B$4/'Inputs &amp; Outputs'!$B$5)*Calculations!$A$3*COS(SQRT('Inputs &amp; Outputs'!$B$4/'Inputs &amp; Outputs'!$B$5)*A153+Calculations!$A$7)</f>
        <v>-2.2308727442236074</v>
      </c>
      <c r="D153">
        <f>1/2*'Inputs &amp; Outputs'!$B$5*'Analytical Steps'!C153^2</f>
        <v>49.767932009197686</v>
      </c>
      <c r="E153">
        <f>1/2*'Inputs &amp; Outputs'!$B$4*'Analytical Steps'!B153^2</f>
        <v>120.23206799080231</v>
      </c>
      <c r="F153">
        <f t="shared" si="2"/>
        <v>170</v>
      </c>
    </row>
    <row r="154" spans="1:6" x14ac:dyDescent="0.2">
      <c r="A154">
        <f>A153+'Inputs &amp; Outputs'!$B$6</f>
        <v>3.8201766667652035</v>
      </c>
      <c r="B154">
        <f>Calculations!$A$3*SIN(SQRT('Inputs &amp; Outputs'!$B$4/'Inputs &amp; Outputs'!$B$5)*A154+Calculations!$A$7)</f>
        <v>6.8782851980969086</v>
      </c>
      <c r="C154">
        <f>SQRT('Inputs &amp; Outputs'!$B$4/'Inputs &amp; Outputs'!$B$5)*Calculations!$A$3*COS(SQRT('Inputs &amp; Outputs'!$B$4/'Inputs &amp; Outputs'!$B$5)*A154+Calculations!$A$7)</f>
        <v>-2.2742687139848363</v>
      </c>
      <c r="D154">
        <f>1/2*'Inputs &amp; Outputs'!$B$5*'Analytical Steps'!C154^2</f>
        <v>51.722981834102413</v>
      </c>
      <c r="E154">
        <f>1/2*'Inputs &amp; Outputs'!$B$4*'Analytical Steps'!B154^2</f>
        <v>118.27701816589757</v>
      </c>
      <c r="F154">
        <f t="shared" si="2"/>
        <v>170</v>
      </c>
    </row>
    <row r="155" spans="1:6" x14ac:dyDescent="0.2">
      <c r="A155">
        <f>A154+'Inputs &amp; Outputs'!$B$6</f>
        <v>3.8453094079939221</v>
      </c>
      <c r="B155">
        <f>Calculations!$A$3*SIN(SQRT('Inputs &amp; Outputs'!$B$4/'Inputs &amp; Outputs'!$B$5)*A155+Calculations!$A$7)</f>
        <v>6.8205850148819236</v>
      </c>
      <c r="C155">
        <f>SQRT('Inputs &amp; Outputs'!$B$4/'Inputs &amp; Outputs'!$B$5)*Calculations!$A$3*COS(SQRT('Inputs &amp; Outputs'!$B$4/'Inputs &amp; Outputs'!$B$5)*A155+Calculations!$A$7)</f>
        <v>-2.3173055503519677</v>
      </c>
      <c r="D155">
        <f>1/2*'Inputs &amp; Outputs'!$B$5*'Analytical Steps'!C155^2</f>
        <v>53.699050136920363</v>
      </c>
      <c r="E155">
        <f>1/2*'Inputs &amp; Outputs'!$B$4*'Analytical Steps'!B155^2</f>
        <v>116.30094986307964</v>
      </c>
      <c r="F155">
        <f t="shared" si="2"/>
        <v>170</v>
      </c>
    </row>
    <row r="156" spans="1:6" x14ac:dyDescent="0.2">
      <c r="A156">
        <f>A155+'Inputs &amp; Outputs'!$B$6</f>
        <v>3.8704421492226406</v>
      </c>
      <c r="B156">
        <f>Calculations!$A$3*SIN(SQRT('Inputs &amp; Outputs'!$B$4/'Inputs &amp; Outputs'!$B$5)*A156+Calculations!$A$7)</f>
        <v>6.7618077822263594</v>
      </c>
      <c r="C156">
        <f>SQRT('Inputs &amp; Outputs'!$B$4/'Inputs &amp; Outputs'!$B$5)*Calculations!$A$3*COS(SQRT('Inputs &amp; Outputs'!$B$4/'Inputs &amp; Outputs'!$B$5)*A156+Calculations!$A$7)</f>
        <v>-2.35997645730964</v>
      </c>
      <c r="D156">
        <f>1/2*'Inputs &amp; Outputs'!$B$5*'Analytical Steps'!C156^2</f>
        <v>55.694888790557599</v>
      </c>
      <c r="E156">
        <f>1/2*'Inputs &amp; Outputs'!$B$4*'Analytical Steps'!B156^2</f>
        <v>114.30511120944239</v>
      </c>
      <c r="F156">
        <f t="shared" si="2"/>
        <v>170</v>
      </c>
    </row>
    <row r="157" spans="1:6" x14ac:dyDescent="0.2">
      <c r="A157">
        <f>A156+'Inputs &amp; Outputs'!$B$6</f>
        <v>3.8955748904513592</v>
      </c>
      <c r="B157">
        <f>Calculations!$A$3*SIN(SQRT('Inputs &amp; Outputs'!$B$4/'Inputs &amp; Outputs'!$B$5)*A157+Calculations!$A$7)</f>
        <v>6.7019627817366185</v>
      </c>
      <c r="C157">
        <f>SQRT('Inputs &amp; Outputs'!$B$4/'Inputs &amp; Outputs'!$B$5)*Calculations!$A$3*COS(SQRT('Inputs &amp; Outputs'!$B$4/'Inputs &amp; Outputs'!$B$5)*A157+Calculations!$A$7)</f>
        <v>-2.4022746966269888</v>
      </c>
      <c r="D157">
        <f>1/2*'Inputs &amp; Outputs'!$B$5*'Analytical Steps'!C157^2</f>
        <v>57.709237180542914</v>
      </c>
      <c r="E157">
        <f>1/2*'Inputs &amp; Outputs'!$B$4*'Analytical Steps'!B157^2</f>
        <v>112.29076281945709</v>
      </c>
      <c r="F157">
        <f t="shared" si="2"/>
        <v>170</v>
      </c>
    </row>
    <row r="158" spans="1:6" x14ac:dyDescent="0.2">
      <c r="A158">
        <f>A157+'Inputs &amp; Outputs'!$B$6</f>
        <v>3.9207076316800777</v>
      </c>
      <c r="B158">
        <f>Calculations!$A$3*SIN(SQRT('Inputs &amp; Outputs'!$B$4/'Inputs &amp; Outputs'!$B$5)*A158+Calculations!$A$7)</f>
        <v>6.6410594636320246</v>
      </c>
      <c r="C158">
        <f>SQRT('Inputs &amp; Outputs'!$B$4/'Inputs &amp; Outputs'!$B$5)*Calculations!$A$3*COS(SQRT('Inputs &amp; Outputs'!$B$4/'Inputs &amp; Outputs'!$B$5)*A158+Calculations!$A$7)</f>
        <v>-2.4441935889216881</v>
      </c>
      <c r="D158">
        <f>1/2*'Inputs &amp; Outputs'!$B$5*'Analytical Steps'!C158^2</f>
        <v>59.740823001258825</v>
      </c>
      <c r="E158">
        <f>1/2*'Inputs &amp; Outputs'!$B$4*'Analytical Steps'!B158^2</f>
        <v>110.2591769987412</v>
      </c>
      <c r="F158">
        <f t="shared" si="2"/>
        <v>170.00000000000003</v>
      </c>
    </row>
    <row r="159" spans="1:6" x14ac:dyDescent="0.2">
      <c r="A159">
        <f>A158+'Inputs &amp; Outputs'!$B$6</f>
        <v>3.9458403729087963</v>
      </c>
      <c r="B159">
        <f>Calculations!$A$3*SIN(SQRT('Inputs &amp; Outputs'!$B$4/'Inputs &amp; Outputs'!$B$5)*A159+Calculations!$A$7)</f>
        <v>6.5791074452525189</v>
      </c>
      <c r="C159">
        <f>SQRT('Inputs &amp; Outputs'!$B$4/'Inputs &amp; Outputs'!$B$5)*Calculations!$A$3*COS(SQRT('Inputs &amp; Outputs'!$B$4/'Inputs &amp; Outputs'!$B$5)*A159+Calculations!$A$7)</f>
        <v>-2.4857265147147056</v>
      </c>
      <c r="D159">
        <f>1/2*'Inputs &amp; Outputs'!$B$5*'Analytical Steps'!C159^2</f>
        <v>61.788363059557184</v>
      </c>
      <c r="E159">
        <f>1/2*'Inputs &amp; Outputs'!$B$4*'Analytical Steps'!B159^2</f>
        <v>108.21163694044282</v>
      </c>
      <c r="F159">
        <f t="shared" si="2"/>
        <v>170</v>
      </c>
    </row>
    <row r="160" spans="1:6" x14ac:dyDescent="0.2">
      <c r="A160">
        <f>A159+'Inputs &amp; Outputs'!$B$6</f>
        <v>3.9709731141375149</v>
      </c>
      <c r="B160">
        <f>Calculations!$A$3*SIN(SQRT('Inputs &amp; Outputs'!$B$4/'Inputs &amp; Outputs'!$B$5)*A160+Calculations!$A$7)</f>
        <v>6.5161165095399758</v>
      </c>
      <c r="C160">
        <f>SQRT('Inputs &amp; Outputs'!$B$4/'Inputs &amp; Outputs'!$B$5)*Calculations!$A$3*COS(SQRT('Inputs &amp; Outputs'!$B$4/'Inputs &amp; Outputs'!$B$5)*A160+Calculations!$A$7)</f>
        <v>-2.5268669154755941</v>
      </c>
      <c r="D160">
        <f>1/2*'Inputs &amp; Outputs'!$B$5*'Analytical Steps'!C160^2</f>
        <v>63.850564085251435</v>
      </c>
      <c r="E160">
        <f>1/2*'Inputs &amp; Outputs'!$B$4*'Analytical Steps'!B160^2</f>
        <v>106.14943591474858</v>
      </c>
      <c r="F160">
        <f t="shared" si="2"/>
        <v>170</v>
      </c>
    </row>
    <row r="161" spans="1:6" x14ac:dyDescent="0.2">
      <c r="A161">
        <f>A160+'Inputs &amp; Outputs'!$B$6</f>
        <v>3.9961058553662334</v>
      </c>
      <c r="B161">
        <f>Calculations!$A$3*SIN(SQRT('Inputs &amp; Outputs'!$B$4/'Inputs &amp; Outputs'!$B$5)*A161+Calculations!$A$7)</f>
        <v>6.4520966034933558</v>
      </c>
      <c r="C161">
        <f>SQRT('Inputs &amp; Outputs'!$B$4/'Inputs &amp; Outputs'!$B$5)*Calculations!$A$3*COS(SQRT('Inputs &amp; Outputs'!$B$4/'Inputs &amp; Outputs'!$B$5)*A161+Calculations!$A$7)</f>
        <v>-2.5676082946581582</v>
      </c>
      <c r="D161">
        <f>1/2*'Inputs &amp; Outputs'!$B$5*'Analytical Steps'!C161^2</f>
        <v>65.926123547973759</v>
      </c>
      <c r="E161">
        <f>1/2*'Inputs &amp; Outputs'!$B$4*'Analytical Steps'!B161^2</f>
        <v>104.07387645202624</v>
      </c>
      <c r="F161">
        <f t="shared" si="2"/>
        <v>170</v>
      </c>
    </row>
    <row r="162" spans="1:6" x14ac:dyDescent="0.2">
      <c r="A162">
        <f>A161+'Inputs &amp; Outputs'!$B$6</f>
        <v>4.0212385965949515</v>
      </c>
      <c r="B162">
        <f>Calculations!$A$3*SIN(SQRT('Inputs &amp; Outputs'!$B$4/'Inputs &amp; Outputs'!$B$5)*A162+Calculations!$A$7)</f>
        <v>6.3870578365979682</v>
      </c>
      <c r="C162">
        <f>SQRT('Inputs &amp; Outputs'!$B$4/'Inputs &amp; Outputs'!$B$5)*Calculations!$A$3*COS(SQRT('Inputs &amp; Outputs'!$B$4/'Inputs &amp; Outputs'!$B$5)*A162+Calculations!$A$7)</f>
        <v>-2.607944218726336</v>
      </c>
      <c r="D162">
        <f>1/2*'Inputs &amp; Outputs'!$B$5*'Analytical Steps'!C162^2</f>
        <v>68.01373047988119</v>
      </c>
      <c r="E162">
        <f>1/2*'Inputs &amp; Outputs'!$B$4*'Analytical Steps'!B162^2</f>
        <v>101.9862695201188</v>
      </c>
      <c r="F162">
        <f t="shared" si="2"/>
        <v>170</v>
      </c>
    </row>
    <row r="163" spans="1:6" x14ac:dyDescent="0.2">
      <c r="A163">
        <f>A162+'Inputs &amp; Outputs'!$B$6</f>
        <v>4.0463713378236701</v>
      </c>
      <c r="B163">
        <f>Calculations!$A$3*SIN(SQRT('Inputs &amp; Outputs'!$B$4/'Inputs &amp; Outputs'!$B$5)*A163+Calculations!$A$7)</f>
        <v>6.3210104792290585</v>
      </c>
      <c r="C163">
        <f>SQRT('Inputs &amp; Outputs'!$B$4/'Inputs &amp; Outputs'!$B$5)*Calculations!$A$3*COS(SQRT('Inputs &amp; Outputs'!$B$4/'Inputs &amp; Outputs'!$B$5)*A163+Calculations!$A$7)</f>
        <v>-2.6478683181701288</v>
      </c>
      <c r="D163">
        <f>1/2*'Inputs &amp; Outputs'!$B$5*'Analytical Steps'!C163^2</f>
        <v>70.112066303691066</v>
      </c>
      <c r="E163">
        <f>1/2*'Inputs &amp; Outputs'!$B$4*'Analytical Steps'!B163^2</f>
        <v>99.88793369630892</v>
      </c>
      <c r="F163">
        <f t="shared" si="2"/>
        <v>170</v>
      </c>
    </row>
    <row r="164" spans="1:6" x14ac:dyDescent="0.2">
      <c r="A164">
        <f>A163+'Inputs &amp; Outputs'!$B$6</f>
        <v>4.0715040790523886</v>
      </c>
      <c r="B164">
        <f>Calculations!$A$3*SIN(SQRT('Inputs &amp; Outputs'!$B$4/'Inputs &amp; Outputs'!$B$5)*A164+Calculations!$A$7)</f>
        <v>6.2539649610300012</v>
      </c>
      <c r="C164">
        <f>SQRT('Inputs &amp; Outputs'!$B$4/'Inputs &amp; Outputs'!$B$5)*Calculations!$A$3*COS(SQRT('Inputs &amp; Outputs'!$B$4/'Inputs &amp; Outputs'!$B$5)*A164+Calculations!$A$7)</f>
        <v>-2.6873742885114189</v>
      </c>
      <c r="D164">
        <f>1/2*'Inputs &amp; Outputs'!$B$5*'Analytical Steps'!C164^2</f>
        <v>72.219805665522557</v>
      </c>
      <c r="E164">
        <f>1/2*'Inputs &amp; Outputs'!$B$4*'Analytical Steps'!B164^2</f>
        <v>97.780194334477457</v>
      </c>
      <c r="F164">
        <f t="shared" si="2"/>
        <v>170</v>
      </c>
    </row>
    <row r="165" spans="1:6" x14ac:dyDescent="0.2">
      <c r="A165">
        <f>A164+'Inputs &amp; Outputs'!$B$6</f>
        <v>4.0966368202811072</v>
      </c>
      <c r="B165">
        <f>Calculations!$A$3*SIN(SQRT('Inputs &amp; Outputs'!$B$4/'Inputs &amp; Outputs'!$B$5)*A165+Calculations!$A$7)</f>
        <v>6.1859318692653344</v>
      </c>
      <c r="C165">
        <f>SQRT('Inputs &amp; Outputs'!$B$4/'Inputs &amp; Outputs'!$B$5)*Calculations!$A$3*COS(SQRT('Inputs &amp; Outputs'!$B$4/'Inputs &amp; Outputs'!$B$5)*A165+Calculations!$A$7)</f>
        <v>-2.7264558912995223</v>
      </c>
      <c r="D165">
        <f>1/2*'Inputs &amp; Outputs'!$B$5*'Analytical Steps'!C165^2</f>
        <v>74.335617272018723</v>
      </c>
      <c r="E165">
        <f>1/2*'Inputs &amp; Outputs'!$B$4*'Analytical Steps'!B165^2</f>
        <v>95.664382727981291</v>
      </c>
      <c r="F165">
        <f t="shared" si="2"/>
        <v>170</v>
      </c>
    </row>
    <row r="166" spans="1:6" x14ac:dyDescent="0.2">
      <c r="A166">
        <f>A165+'Inputs &amp; Outputs'!$B$6</f>
        <v>4.1217695615098258</v>
      </c>
      <c r="B166">
        <f>Calculations!$A$3*SIN(SQRT('Inputs &amp; Outputs'!$B$4/'Inputs &amp; Outputs'!$B$5)*A166+Calculations!$A$7)</f>
        <v>6.1169219471489136</v>
      </c>
      <c r="C166">
        <f>SQRT('Inputs &amp; Outputs'!$B$4/'Inputs &amp; Outputs'!$B$5)*Calculations!$A$3*COS(SQRT('Inputs &amp; Outputs'!$B$4/'Inputs &amp; Outputs'!$B$5)*A166+Calculations!$A$7)</f>
        <v>-2.7651069550963099</v>
      </c>
      <c r="D166">
        <f>1/2*'Inputs &amp; Outputs'!$B$5*'Analytical Steps'!C166^2</f>
        <v>76.458164731219853</v>
      </c>
      <c r="E166">
        <f>1/2*'Inputs &amp; Outputs'!$B$4*'Analytical Steps'!B166^2</f>
        <v>93.541835268780147</v>
      </c>
      <c r="F166">
        <f t="shared" si="2"/>
        <v>170</v>
      </c>
    </row>
    <row r="167" spans="1:6" x14ac:dyDescent="0.2">
      <c r="A167">
        <f>A166+'Inputs &amp; Outputs'!$B$6</f>
        <v>4.1469023027385443</v>
      </c>
      <c r="B167">
        <f>Calculations!$A$3*SIN(SQRT('Inputs &amp; Outputs'!$B$4/'Inputs &amp; Outputs'!$B$5)*A167+Calculations!$A$7)</f>
        <v>6.0469460921474294</v>
      </c>
      <c r="C167">
        <f>SQRT('Inputs &amp; Outputs'!$B$4/'Inputs &amp; Outputs'!$B$5)*Calculations!$A$3*COS(SQRT('Inputs &amp; Outputs'!$B$4/'Inputs &amp; Outputs'!$B$5)*A167+Calculations!$A$7)</f>
        <v>-2.803321376450751</v>
      </c>
      <c r="D167">
        <f>1/2*'Inputs &amp; Outputs'!$B$5*'Analytical Steps'!C167^2</f>
        <v>78.586107396657326</v>
      </c>
      <c r="E167">
        <f>1/2*'Inputs &amp; Outputs'!$B$4*'Analytical Steps'!B167^2</f>
        <v>91.41389260334266</v>
      </c>
      <c r="F167">
        <f t="shared" si="2"/>
        <v>170</v>
      </c>
    </row>
    <row r="168" spans="1:6" x14ac:dyDescent="0.2">
      <c r="A168">
        <f>A167+'Inputs &amp; Outputs'!$B$6</f>
        <v>4.1720350439672629</v>
      </c>
      <c r="B168">
        <f>Calculations!$A$3*SIN(SQRT('Inputs &amp; Outputs'!$B$4/'Inputs &amp; Outputs'!$B$5)*A168+Calculations!$A$7)</f>
        <v>5.9760153542595722</v>
      </c>
      <c r="C168">
        <f>SQRT('Inputs &amp; Outputs'!$B$4/'Inputs &amp; Outputs'!$B$5)*Calculations!$A$3*COS(SQRT('Inputs &amp; Outputs'!$B$4/'Inputs &amp; Outputs'!$B$5)*A168+Calculations!$A$7)</f>
        <v>-2.8410931208627179</v>
      </c>
      <c r="D168">
        <f>1/2*'Inputs &amp; Outputs'!$B$5*'Analytical Steps'!C168^2</f>
        <v>80.718101214134578</v>
      </c>
      <c r="E168">
        <f>1/2*'Inputs &amp; Outputs'!$B$4*'Analytical Steps'!B168^2</f>
        <v>89.281898785865394</v>
      </c>
      <c r="F168">
        <f t="shared" si="2"/>
        <v>169.99999999999997</v>
      </c>
    </row>
    <row r="169" spans="1:6" x14ac:dyDescent="0.2">
      <c r="A169">
        <f>A168+'Inputs &amp; Outputs'!$B$6</f>
        <v>4.1971677851959814</v>
      </c>
      <c r="B169">
        <f>Calculations!$A$3*SIN(SQRT('Inputs &amp; Outputs'!$B$4/'Inputs &amp; Outputs'!$B$5)*A169+Calculations!$A$7)</f>
        <v>5.9041409342711093</v>
      </c>
      <c r="C169">
        <f>SQRT('Inputs &amp; Outputs'!$B$4/'Inputs &amp; Outputs'!$B$5)*Calculations!$A$3*COS(SQRT('Inputs &amp; Outputs'!$B$4/'Inputs &amp; Outputs'!$B$5)*A169+Calculations!$A$7)</f>
        <v>-2.878416223735905</v>
      </c>
      <c r="D169">
        <f>1/2*'Inputs &amp; Outputs'!$B$5*'Analytical Steps'!C169^2</f>
        <v>82.852799570660679</v>
      </c>
      <c r="E169">
        <f>1/2*'Inputs &amp; Outputs'!$B$4*'Analytical Steps'!B169^2</f>
        <v>87.147200429339321</v>
      </c>
      <c r="F169">
        <f t="shared" si="2"/>
        <v>170</v>
      </c>
    </row>
    <row r="170" spans="1:6" x14ac:dyDescent="0.2">
      <c r="A170">
        <f>A169+'Inputs &amp; Outputs'!$B$6</f>
        <v>4.2223005264247</v>
      </c>
      <c r="B170">
        <f>Calculations!$A$3*SIN(SQRT('Inputs &amp; Outputs'!$B$4/'Inputs &amp; Outputs'!$B$5)*A170+Calculations!$A$7)</f>
        <v>5.8313341819861524</v>
      </c>
      <c r="C170">
        <f>SQRT('Inputs &amp; Outputs'!$B$4/'Inputs &amp; Outputs'!$B$5)*Calculations!$A$3*COS(SQRT('Inputs &amp; Outputs'!$B$4/'Inputs &amp; Outputs'!$B$5)*A170+Calculations!$A$7)</f>
        <v>-2.9152847913197046</v>
      </c>
      <c r="D170">
        <f>1/2*'Inputs &amp; Outputs'!$B$5*'Analytical Steps'!C170^2</f>
        <v>84.988854144999735</v>
      </c>
      <c r="E170">
        <f>1/2*'Inputs &amp; Outputs'!$B$4*'Analytical Steps'!B170^2</f>
        <v>85.011145855000265</v>
      </c>
      <c r="F170">
        <f t="shared" si="2"/>
        <v>170</v>
      </c>
    </row>
    <row r="171" spans="1:6" x14ac:dyDescent="0.2">
      <c r="A171">
        <f>A170+'Inputs &amp; Outputs'!$B$6</f>
        <v>4.2474332676534186</v>
      </c>
      <c r="B171">
        <f>Calculations!$A$3*SIN(SQRT('Inputs &amp; Outputs'!$B$4/'Inputs &amp; Outputs'!$B$5)*A171+Calculations!$A$7)</f>
        <v>5.7576065944348898</v>
      </c>
      <c r="C171">
        <f>SQRT('Inputs &amp; Outputs'!$B$4/'Inputs &amp; Outputs'!$B$5)*Calculations!$A$3*COS(SQRT('Inputs &amp; Outputs'!$B$4/'Inputs &amp; Outputs'!$B$5)*A171+Calculations!$A$7)</f>
        <v>-2.9516930016399012</v>
      </c>
      <c r="D171">
        <f>1/2*'Inputs &amp; Outputs'!$B$5*'Analytical Steps'!C171^2</f>
        <v>87.124915759299711</v>
      </c>
      <c r="E171">
        <f>1/2*'Inputs &amp; Outputs'!$B$4*'Analytical Steps'!B171^2</f>
        <v>82.875084240700318</v>
      </c>
      <c r="F171">
        <f t="shared" si="2"/>
        <v>170.00000000000003</v>
      </c>
    </row>
    <row r="172" spans="1:6" x14ac:dyDescent="0.2">
      <c r="A172">
        <f>A171+'Inputs &amp; Outputs'!$B$6</f>
        <v>4.2725660088821371</v>
      </c>
      <c r="B172">
        <f>Calculations!$A$3*SIN(SQRT('Inputs &amp; Outputs'!$B$4/'Inputs &amp; Outputs'!$B$5)*A172+Calculations!$A$7)</f>
        <v>5.6829698140580716</v>
      </c>
      <c r="C172">
        <f>SQRT('Inputs &amp; Outputs'!$B$4/'Inputs &amp; Outputs'!$B$5)*Calculations!$A$3*COS(SQRT('Inputs &amp; Outputs'!$B$4/'Inputs &amp; Outputs'!$B$5)*A172+Calculations!$A$7)</f>
        <v>-2.9876351054180277</v>
      </c>
      <c r="D172">
        <f>1/2*'Inputs &amp; Outputs'!$B$5*'Analytical Steps'!C172^2</f>
        <v>89.259635231261882</v>
      </c>
      <c r="E172">
        <f>1/2*'Inputs &amp; Outputs'!$B$4*'Analytical Steps'!B172^2</f>
        <v>80.740364768738075</v>
      </c>
      <c r="F172">
        <f t="shared" si="2"/>
        <v>169.99999999999994</v>
      </c>
    </row>
    <row r="173" spans="1:6" x14ac:dyDescent="0.2">
      <c r="A173">
        <f>A172+'Inputs &amp; Outputs'!$B$6</f>
        <v>4.2976987501108557</v>
      </c>
      <c r="B173">
        <f>Calculations!$A$3*SIN(SQRT('Inputs &amp; Outputs'!$B$4/'Inputs &amp; Outputs'!$B$5)*A173+Calculations!$A$7)</f>
        <v>5.607435626868539</v>
      </c>
      <c r="C173">
        <f>SQRT('Inputs &amp; Outputs'!$B$4/'Inputs &amp; Outputs'!$B$5)*Calculations!$A$3*COS(SQRT('Inputs &amp; Outputs'!$B$4/'Inputs &amp; Outputs'!$B$5)*A173+Calculations!$A$7)</f>
        <v>-3.0231054269792441</v>
      </c>
      <c r="D173">
        <f>1/2*'Inputs &amp; Outputs'!$B$5*'Analytical Steps'!C173^2</f>
        <v>91.391664226313594</v>
      </c>
      <c r="E173">
        <f>1/2*'Inputs &amp; Outputs'!$B$4*'Analytical Steps'!B173^2</f>
        <v>78.608335773686406</v>
      </c>
      <c r="F173">
        <f t="shared" si="2"/>
        <v>170</v>
      </c>
    </row>
    <row r="174" spans="1:6" x14ac:dyDescent="0.2">
      <c r="A174">
        <f>A173+'Inputs &amp; Outputs'!$B$6</f>
        <v>4.3228314913395742</v>
      </c>
      <c r="B174">
        <f>Calculations!$A$3*SIN(SQRT('Inputs &amp; Outputs'!$B$4/'Inputs &amp; Outputs'!$B$5)*A174+Calculations!$A$7)</f>
        <v>5.5310159605900671</v>
      </c>
      <c r="C174">
        <f>SQRT('Inputs &amp; Outputs'!$B$4/'Inputs &amp; Outputs'!$B$5)*Calculations!$A$3*COS(SQRT('Inputs &amp; Outputs'!$B$4/'Inputs &amp; Outputs'!$B$5)*A174+Calculations!$A$7)</f>
        <v>-3.0580983651485907</v>
      </c>
      <c r="D174">
        <f>1/2*'Inputs &amp; Outputs'!$B$5*'Analytical Steps'!C174^2</f>
        <v>93.519656109244821</v>
      </c>
      <c r="E174">
        <f>1/2*'Inputs &amp; Outputs'!$B$4*'Analytical Steps'!B174^2</f>
        <v>76.480343890755165</v>
      </c>
      <c r="F174">
        <f t="shared" si="2"/>
        <v>170</v>
      </c>
    </row>
    <row r="175" spans="1:6" x14ac:dyDescent="0.2">
      <c r="A175">
        <f>A174+'Inputs &amp; Outputs'!$B$6</f>
        <v>4.3479642325682928</v>
      </c>
      <c r="B175">
        <f>Calculations!$A$3*SIN(SQRT('Inputs &amp; Outputs'!$B$4/'Inputs &amp; Outputs'!$B$5)*A175+Calculations!$A$7)</f>
        <v>5.4537228827738478</v>
      </c>
      <c r="C175">
        <f>SQRT('Inputs &amp; Outputs'!$B$4/'Inputs &amp; Outputs'!$B$5)*Calculations!$A$3*COS(SQRT('Inputs &amp; Outputs'!$B$4/'Inputs &amp; Outputs'!$B$5)*A175+Calculations!$A$7)</f>
        <v>-3.0926083941354796</v>
      </c>
      <c r="D175">
        <f>1/2*'Inputs &amp; Outputs'!$B$5*'Analytical Steps'!C175^2</f>
        <v>95.642266794772297</v>
      </c>
      <c r="E175">
        <f>1/2*'Inputs &amp; Outputs'!$B$4*'Analytical Steps'!B175^2</f>
        <v>74.357733205227717</v>
      </c>
      <c r="F175">
        <f t="shared" si="2"/>
        <v>170</v>
      </c>
    </row>
    <row r="176" spans="1:6" x14ac:dyDescent="0.2">
      <c r="A176">
        <f>A175+'Inputs &amp; Outputs'!$B$6</f>
        <v>4.3730969737970113</v>
      </c>
      <c r="B176">
        <f>Calculations!$A$3*SIN(SQRT('Inputs &amp; Outputs'!$B$4/'Inputs &amp; Outputs'!$B$5)*A176+Calculations!$A$7)</f>
        <v>5.3755685988928761</v>
      </c>
      <c r="C176">
        <f>SQRT('Inputs &amp; Outputs'!$B$4/'Inputs &amp; Outputs'!$B$5)*Calculations!$A$3*COS(SQRT('Inputs &amp; Outputs'!$B$4/'Inputs &amp; Outputs'!$B$5)*A176+Calculations!$A$7)</f>
        <v>-3.1266300644062803</v>
      </c>
      <c r="D176">
        <f>1/2*'Inputs &amp; Outputs'!$B$5*'Analytical Steps'!C176^2</f>
        <v>97.758155596492202</v>
      </c>
      <c r="E176">
        <f>1/2*'Inputs &amp; Outputs'!$B$4*'Analytical Steps'!B176^2</f>
        <v>72.241844403507798</v>
      </c>
      <c r="F176">
        <f t="shared" si="2"/>
        <v>170</v>
      </c>
    </row>
    <row r="177" spans="1:6" x14ac:dyDescent="0.2">
      <c r="A177">
        <f>A176+'Inputs &amp; Outputs'!$B$6</f>
        <v>4.3982297150257299</v>
      </c>
      <c r="B177">
        <f>Calculations!$A$3*SIN(SQRT('Inputs &amp; Outputs'!$B$4/'Inputs &amp; Outputs'!$B$5)*A177+Calculations!$A$7)</f>
        <v>5.2965654504145716</v>
      </c>
      <c r="C177">
        <f>SQRT('Inputs &amp; Outputs'!$B$4/'Inputs &amp; Outputs'!$B$5)*Calculations!$A$3*COS(SQRT('Inputs &amp; Outputs'!$B$4/'Inputs &amp; Outputs'!$B$5)*A177+Calculations!$A$7)</f>
        <v>-3.1601580035448662</v>
      </c>
      <c r="D177">
        <f>1/2*'Inputs &amp; Outputs'!$B$5*'Analytical Steps'!C177^2</f>
        <v>99.865986073686756</v>
      </c>
      <c r="E177">
        <f>1/2*'Inputs &amp; Outputs'!$B$4*'Analytical Steps'!B177^2</f>
        <v>70.134013926313287</v>
      </c>
      <c r="F177">
        <f t="shared" si="2"/>
        <v>170.00000000000006</v>
      </c>
    </row>
    <row r="178" spans="1:6" x14ac:dyDescent="0.2">
      <c r="A178">
        <f>A177+'Inputs &amp; Outputs'!$B$6</f>
        <v>4.4233624562544485</v>
      </c>
      <c r="B178">
        <f>Calculations!$A$3*SIN(SQRT('Inputs &amp; Outputs'!$B$4/'Inputs &amp; Outputs'!$B$5)*A178+Calculations!$A$7)</f>
        <v>5.2167259128519117</v>
      </c>
      <c r="C178">
        <f>SQRT('Inputs &amp; Outputs'!$B$4/'Inputs &amp; Outputs'!$B$5)*Calculations!$A$3*COS(SQRT('Inputs &amp; Outputs'!$B$4/'Inputs &amp; Outputs'!$B$5)*A178+Calculations!$A$7)</f>
        <v>-3.1931869171009781</v>
      </c>
      <c r="D178">
        <f>1/2*'Inputs &amp; Outputs'!$B$5*'Analytical Steps'!C178^2</f>
        <v>101.96442687544848</v>
      </c>
      <c r="E178">
        <f>1/2*'Inputs &amp; Outputs'!$B$4*'Analytical Steps'!B178^2</f>
        <v>68.035573124551533</v>
      </c>
      <c r="F178">
        <f t="shared" si="2"/>
        <v>170</v>
      </c>
    </row>
    <row r="179" spans="1:6" x14ac:dyDescent="0.2">
      <c r="A179">
        <f>A178+'Inputs &amp; Outputs'!$B$6</f>
        <v>4.448495197483167</v>
      </c>
      <c r="B179">
        <f>Calculations!$A$3*SIN(SQRT('Inputs &amp; Outputs'!$B$4/'Inputs &amp; Outputs'!$B$5)*A179+Calculations!$A$7)</f>
        <v>5.1360625937934081</v>
      </c>
      <c r="C179">
        <f>SQRT('Inputs &amp; Outputs'!$B$4/'Inputs &amp; Outputs'!$B$5)*Calculations!$A$3*COS(SQRT('Inputs &amp; Outputs'!$B$4/'Inputs &amp; Outputs'!$B$5)*A179+Calculations!$A$7)</f>
        <v>-3.2257115894262824</v>
      </c>
      <c r="D179">
        <f>1/2*'Inputs &amp; Outputs'!$B$5*'Analytical Steps'!C179^2</f>
        <v>104.05215258159033</v>
      </c>
      <c r="E179">
        <f>1/2*'Inputs &amp; Outputs'!$B$4*'Analytical Steps'!B179^2</f>
        <v>65.94784741840968</v>
      </c>
      <c r="F179">
        <f t="shared" si="2"/>
        <v>170</v>
      </c>
    </row>
    <row r="180" spans="1:6" x14ac:dyDescent="0.2">
      <c r="A180">
        <f>A179+'Inputs &amp; Outputs'!$B$6</f>
        <v>4.4736279387118856</v>
      </c>
      <c r="B180">
        <f>Calculations!$A$3*SIN(SQRT('Inputs &amp; Outputs'!$B$4/'Inputs &amp; Outputs'!$B$5)*A180+Calculations!$A$7)</f>
        <v>5.0545882309122163</v>
      </c>
      <c r="C180">
        <f>SQRT('Inputs &amp; Outputs'!$B$4/'Inputs &amp; Outputs'!$B$5)*Calculations!$A$3*COS(SQRT('Inputs &amp; Outputs'!$B$4/'Inputs &amp; Outputs'!$B$5)*A180+Calculations!$A$7)</f>
        <v>-3.2577268844979819</v>
      </c>
      <c r="D180">
        <f>1/2*'Inputs &amp; Outputs'!$B$5*'Analytical Steps'!C180^2</f>
        <v>106.12784453980927</v>
      </c>
      <c r="E180">
        <f>1/2*'Inputs &amp; Outputs'!$B$4*'Analytical Steps'!B180^2</f>
        <v>63.872155460190719</v>
      </c>
      <c r="F180">
        <f t="shared" si="2"/>
        <v>170</v>
      </c>
    </row>
    <row r="181" spans="1:6" x14ac:dyDescent="0.2">
      <c r="A181">
        <f>A180+'Inputs &amp; Outputs'!$B$6</f>
        <v>4.4987606799406041</v>
      </c>
      <c r="B181">
        <f>Calculations!$A$3*SIN(SQRT('Inputs &amp; Outputs'!$B$4/'Inputs &amp; Outputs'!$B$5)*A181+Calculations!$A$7)</f>
        <v>4.9723156899547192</v>
      </c>
      <c r="C181">
        <f>SQRT('Inputs &amp; Outputs'!$B$4/'Inputs &amp; Outputs'!$B$5)*Calculations!$A$3*COS(SQRT('Inputs &amp; Outputs'!$B$4/'Inputs &amp; Outputs'!$B$5)*A181+Calculations!$A$7)</f>
        <v>-3.2892277467298507</v>
      </c>
      <c r="D181">
        <f>1/2*'Inputs &amp; Outputs'!$B$5*'Analytical Steps'!C181^2</f>
        <v>108.19019169857532</v>
      </c>
      <c r="E181">
        <f>1/2*'Inputs &amp; Outputs'!$B$4*'Analytical Steps'!B181^2</f>
        <v>61.809808301424681</v>
      </c>
      <c r="F181">
        <f t="shared" si="2"/>
        <v>170</v>
      </c>
    </row>
    <row r="182" spans="1:6" x14ac:dyDescent="0.2">
      <c r="A182">
        <f>A181+'Inputs &amp; Outputs'!$B$6</f>
        <v>4.5238934211693227</v>
      </c>
      <c r="B182">
        <f>Calculations!$A$3*SIN(SQRT('Inputs &amp; Outputs'!$B$4/'Inputs &amp; Outputs'!$B$5)*A182+Calculations!$A$7)</f>
        <v>4.8892579627088661</v>
      </c>
      <c r="C182">
        <f>SQRT('Inputs &amp; Outputs'!$B$4/'Inputs &amp; Outputs'!$B$5)*Calculations!$A$3*COS(SQRT('Inputs &amp; Outputs'!$B$4/'Inputs &amp; Outputs'!$B$5)*A182+Calculations!$A$7)</f>
        <v>-3.3202092017705733</v>
      </c>
      <c r="D182">
        <f>1/2*'Inputs &amp; Outputs'!$B$5*'Analytical Steps'!C182^2</f>
        <v>110.23789143521988</v>
      </c>
      <c r="E182">
        <f>1/2*'Inputs &amp; Outputs'!$B$4*'Analytical Steps'!B182^2</f>
        <v>59.762108564780128</v>
      </c>
      <c r="F182">
        <f t="shared" si="2"/>
        <v>170</v>
      </c>
    </row>
    <row r="183" spans="1:6" x14ac:dyDescent="0.2">
      <c r="A183">
        <f>A182+'Inputs &amp; Outputs'!$B$6</f>
        <v>4.5490261623980413</v>
      </c>
      <c r="B183">
        <f>Calculations!$A$3*SIN(SQRT('Inputs &amp; Outputs'!$B$4/'Inputs &amp; Outputs'!$B$5)*A183+Calculations!$A$7)</f>
        <v>4.8054281649526249</v>
      </c>
      <c r="C183">
        <f>SQRT('Inputs &amp; Outputs'!$B$4/'Inputs &amp; Outputs'!$B$5)*Calculations!$A$3*COS(SQRT('Inputs &amp; Outputs'!$B$4/'Inputs &amp; Outputs'!$B$5)*A183+Calculations!$A$7)</f>
        <v>-3.3506663572892501</v>
      </c>
      <c r="D183">
        <f>1/2*'Inputs &amp; Outputs'!$B$5*'Analytical Steps'!C183^2</f>
        <v>112.26965037870013</v>
      </c>
      <c r="E183">
        <f>1/2*'Inputs &amp; Outputs'!$B$4*'Analytical Steps'!B183^2</f>
        <v>57.730349621299879</v>
      </c>
      <c r="F183">
        <f t="shared" si="2"/>
        <v>170</v>
      </c>
    </row>
    <row r="184" spans="1:6" x14ac:dyDescent="0.2">
      <c r="A184">
        <f>A183+'Inputs &amp; Outputs'!$B$6</f>
        <v>4.5741589036267598</v>
      </c>
      <c r="B184">
        <f>Calculations!$A$3*SIN(SQRT('Inputs &amp; Outputs'!$B$4/'Inputs &amp; Outputs'!$B$5)*A184+Calculations!$A$7)</f>
        <v>4.7208395343828462</v>
      </c>
      <c r="C184">
        <f>SQRT('Inputs &amp; Outputs'!$B$4/'Inputs &amp; Outputs'!$B$5)*Calculations!$A$3*COS(SQRT('Inputs &amp; Outputs'!$B$4/'Inputs &amp; Outputs'!$B$5)*A184+Calculations!$A$7)</f>
        <v>-3.3805944037479541</v>
      </c>
      <c r="D184">
        <f>1/2*'Inputs &amp; Outputs'!$B$5*'Analytical Steps'!C184^2</f>
        <v>114.28418522651984</v>
      </c>
      <c r="E184">
        <f>1/2*'Inputs &amp; Outputs'!$B$4*'Analytical Steps'!B184^2</f>
        <v>55.715814773480119</v>
      </c>
      <c r="F184">
        <f t="shared" si="2"/>
        <v>169.99999999999994</v>
      </c>
    </row>
    <row r="185" spans="1:6" x14ac:dyDescent="0.2">
      <c r="A185">
        <f>A184+'Inputs &amp; Outputs'!$B$6</f>
        <v>4.5992916448554784</v>
      </c>
      <c r="B185">
        <f>Calculations!$A$3*SIN(SQRT('Inputs &amp; Outputs'!$B$4/'Inputs &amp; Outputs'!$B$5)*A185+Calculations!$A$7)</f>
        <v>4.6355054285248816</v>
      </c>
      <c r="C185">
        <f>SQRT('Inputs &amp; Outputs'!$B$4/'Inputs &amp; Outputs'!$B$5)*Calculations!$A$3*COS(SQRT('Inputs &amp; Outputs'!$B$4/'Inputs &amp; Outputs'!$B$5)*A185+Calculations!$A$7)</f>
        <v>-3.4099886151612133</v>
      </c>
      <c r="D185">
        <f>1/2*'Inputs &amp; Outputs'!$B$5*'Analytical Steps'!C185^2</f>
        <v>116.2802235552909</v>
      </c>
      <c r="E185">
        <f>1/2*'Inputs &amp; Outputs'!$B$4*'Analytical Steps'!B185^2</f>
        <v>53.719776444709112</v>
      </c>
      <c r="F185">
        <f t="shared" si="2"/>
        <v>170</v>
      </c>
    </row>
    <row r="186" spans="1:6" x14ac:dyDescent="0.2">
      <c r="A186">
        <f>A185+'Inputs &amp; Outputs'!$B$6</f>
        <v>4.6244243860841969</v>
      </c>
      <c r="B186">
        <f>Calculations!$A$3*SIN(SQRT('Inputs &amp; Outputs'!$B$4/'Inputs &amp; Outputs'!$B$5)*A186+Calculations!$A$7)</f>
        <v>4.549439322623269</v>
      </c>
      <c r="C186">
        <f>SQRT('Inputs &amp; Outputs'!$B$4/'Inputs &amp; Outputs'!$B$5)*Calculations!$A$3*COS(SQRT('Inputs &amp; Outputs'!$B$4/'Inputs &amp; Outputs'!$B$5)*A186+Calculations!$A$7)</f>
        <v>-3.438844349842296</v>
      </c>
      <c r="D186">
        <f>1/2*'Inputs &amp; Outputs'!$B$5*'Analytical Steps'!C186^2</f>
        <v>118.25650462442283</v>
      </c>
      <c r="E186">
        <f>1/2*'Inputs &amp; Outputs'!$B$4*'Analytical Steps'!B186^2</f>
        <v>51.743495375577169</v>
      </c>
      <c r="F186">
        <f t="shared" si="2"/>
        <v>170</v>
      </c>
    </row>
    <row r="187" spans="1:6" x14ac:dyDescent="0.2">
      <c r="A187">
        <f>A186+'Inputs &amp; Outputs'!$B$6</f>
        <v>4.6495571273129155</v>
      </c>
      <c r="B187">
        <f>Calculations!$A$3*SIN(SQRT('Inputs &amp; Outputs'!$B$4/'Inputs &amp; Outputs'!$B$5)*A187+Calculations!$A$7)</f>
        <v>4.4626548075138395</v>
      </c>
      <c r="C187">
        <f>SQRT('Inputs &amp; Outputs'!$B$4/'Inputs &amp; Outputs'!$B$5)*Calculations!$A$3*COS(SQRT('Inputs &amp; Outputs'!$B$4/'Inputs &amp; Outputs'!$B$5)*A187+Calculations!$A$7)</f>
        <v>-3.4671570511361902</v>
      </c>
      <c r="D187">
        <f>1/2*'Inputs &amp; Outputs'!$B$5*'Analytical Steps'!C187^2</f>
        <v>120.21178017243402</v>
      </c>
      <c r="E187">
        <f>1/2*'Inputs &amp; Outputs'!$B$4*'Analytical Steps'!B187^2</f>
        <v>49.78821982756596</v>
      </c>
      <c r="F187">
        <f t="shared" si="2"/>
        <v>169.99999999999997</v>
      </c>
    </row>
    <row r="188" spans="1:6" x14ac:dyDescent="0.2">
      <c r="A188">
        <f>A187+'Inputs &amp; Outputs'!$B$6</f>
        <v>4.674689868541634</v>
      </c>
      <c r="B188">
        <f>Calculations!$A$3*SIN(SQRT('Inputs &amp; Outputs'!$B$4/'Inputs &amp; Outputs'!$B$5)*A188+Calculations!$A$7)</f>
        <v>4.3751655874775688</v>
      </c>
      <c r="C188">
        <f>SQRT('Inputs &amp; Outputs'!$B$4/'Inputs &amp; Outputs'!$B$5)*Calculations!$A$3*COS(SQRT('Inputs &amp; Outputs'!$B$4/'Inputs &amp; Outputs'!$B$5)*A188+Calculations!$A$7)</f>
        <v>-3.4949222481391509</v>
      </c>
      <c r="D188">
        <f>1/2*'Inputs &amp; Outputs'!$B$5*'Analytical Steps'!C188^2</f>
        <v>122.14481520538017</v>
      </c>
      <c r="E188">
        <f>1/2*'Inputs &amp; Outputs'!$B$4*'Analytical Steps'!B188^2</f>
        <v>47.855184794619845</v>
      </c>
      <c r="F188">
        <f t="shared" si="2"/>
        <v>170</v>
      </c>
    </row>
    <row r="189" spans="1:6" x14ac:dyDescent="0.2">
      <c r="A189">
        <f>A188+'Inputs &amp; Outputs'!$B$6</f>
        <v>4.6998226097703526</v>
      </c>
      <c r="B189">
        <f>Calculations!$A$3*SIN(SQRT('Inputs &amp; Outputs'!$B$4/'Inputs &amp; Outputs'!$B$5)*A189+Calculations!$A$7)</f>
        <v>4.2869854780765069</v>
      </c>
      <c r="C189">
        <f>SQRT('Inputs &amp; Outputs'!$B$4/'Inputs &amp; Outputs'!$B$5)*Calculations!$A$3*COS(SQRT('Inputs &amp; Outputs'!$B$4/'Inputs &amp; Outputs'!$B$5)*A189+Calculations!$A$7)</f>
        <v>-3.5221355564047059</v>
      </c>
      <c r="D189">
        <f>1/2*'Inputs &amp; Outputs'!$B$5*'Analytical Steps'!C189^2</f>
        <v>124.05438877690287</v>
      </c>
      <c r="E189">
        <f>1/2*'Inputs &amp; Outputs'!$B$4*'Analytical Steps'!B189^2</f>
        <v>45.945611223097139</v>
      </c>
      <c r="F189">
        <f t="shared" si="2"/>
        <v>170</v>
      </c>
    </row>
    <row r="190" spans="1:6" x14ac:dyDescent="0.2">
      <c r="A190">
        <f>A189+'Inputs &amp; Outputs'!$B$6</f>
        <v>4.7249553509990712</v>
      </c>
      <c r="B190">
        <f>Calculations!$A$3*SIN(SQRT('Inputs &amp; Outputs'!$B$4/'Inputs &amp; Outputs'!$B$5)*A190+Calculations!$A$7)</f>
        <v>4.1981284039721434</v>
      </c>
      <c r="C190">
        <f>SQRT('Inputs &amp; Outputs'!$B$4/'Inputs &amp; Outputs'!$B$5)*Calculations!$A$3*COS(SQRT('Inputs &amp; Outputs'!$B$4/'Inputs &amp; Outputs'!$B$5)*A190+Calculations!$A$7)</f>
        <v>-3.5487926786360142</v>
      </c>
      <c r="D190">
        <f>1/2*'Inputs &amp; Outputs'!$B$5*'Analytical Steps'!C190^2</f>
        <v>125.93929475940577</v>
      </c>
      <c r="E190">
        <f>1/2*'Inputs &amp; Outputs'!$B$4*'Analytical Steps'!B190^2</f>
        <v>44.060705240594238</v>
      </c>
      <c r="F190">
        <f t="shared" si="2"/>
        <v>170</v>
      </c>
    </row>
    <row r="191" spans="1:6" x14ac:dyDescent="0.2">
      <c r="A191">
        <f>A190+'Inputs &amp; Outputs'!$B$6</f>
        <v>4.7500880922277897</v>
      </c>
      <c r="B191">
        <f>Calculations!$A$3*SIN(SQRT('Inputs &amp; Outputs'!$B$4/'Inputs &amp; Outputs'!$B$5)*A191+Calculations!$A$7)</f>
        <v>4.1086083967265452</v>
      </c>
      <c r="C191">
        <f>SQRT('Inputs &amp; Outputs'!$B$4/'Inputs &amp; Outputs'!$B$5)*Calculations!$A$3*COS(SQRT('Inputs &amp; Outputs'!$B$4/'Inputs &amp; Outputs'!$B$5)*A191+Calculations!$A$7)</f>
        <v>-3.574889405364456</v>
      </c>
      <c r="D191">
        <f>1/2*'Inputs &amp; Outputs'!$B$5*'Analytical Steps'!C191^2</f>
        <v>127.79834260587035</v>
      </c>
      <c r="E191">
        <f>1/2*'Inputs &amp; Outputs'!$B$4*'Analytical Steps'!B191^2</f>
        <v>42.201657394129683</v>
      </c>
      <c r="F191">
        <f t="shared" si="2"/>
        <v>170.00000000000003</v>
      </c>
    </row>
    <row r="192" spans="1:6" x14ac:dyDescent="0.2">
      <c r="A192">
        <f>A191+'Inputs &amp; Outputs'!$B$6</f>
        <v>4.7752208334565083</v>
      </c>
      <c r="B192">
        <f>Calculations!$A$3*SIN(SQRT('Inputs &amp; Outputs'!$B$4/'Inputs &amp; Outputs'!$B$5)*A192+Calculations!$A$7)</f>
        <v>4.0184395925866045</v>
      </c>
      <c r="C192">
        <f>SQRT('Inputs &amp; Outputs'!$B$4/'Inputs &amp; Outputs'!$B$5)*Calculations!$A$3*COS(SQRT('Inputs &amp; Outputs'!$B$4/'Inputs &amp; Outputs'!$B$5)*A192+Calculations!$A$7)</f>
        <v>-3.600421615614358</v>
      </c>
      <c r="D192">
        <f>1/2*'Inputs &amp; Outputs'!$B$5*'Analytical Steps'!C192^2</f>
        <v>129.63035810183104</v>
      </c>
      <c r="E192">
        <f>1/2*'Inputs &amp; Outputs'!$B$4*'Analytical Steps'!B192^2</f>
        <v>40.369641898168993</v>
      </c>
      <c r="F192">
        <f t="shared" si="2"/>
        <v>170.00000000000003</v>
      </c>
    </row>
    <row r="193" spans="1:6" x14ac:dyDescent="0.2">
      <c r="A193">
        <f>A192+'Inputs &amp; Outputs'!$B$6</f>
        <v>4.8003535746852268</v>
      </c>
      <c r="B193">
        <f>Calculations!$A$3*SIN(SQRT('Inputs &amp; Outputs'!$B$4/'Inputs &amp; Outputs'!$B$5)*A193+Calculations!$A$7)</f>
        <v>3.9276362302517649</v>
      </c>
      <c r="C193">
        <f>SQRT('Inputs &amp; Outputs'!$B$4/'Inputs &amp; Outputs'!$B$5)*Calculations!$A$3*COS(SQRT('Inputs &amp; Outputs'!$B$4/'Inputs &amp; Outputs'!$B$5)*A193+Calculations!$A$7)</f>
        <v>-3.6253852775537423</v>
      </c>
      <c r="D193">
        <f>1/2*'Inputs &amp; Outputs'!$B$5*'Analytical Steps'!C193^2</f>
        <v>131.43418410703424</v>
      </c>
      <c r="E193">
        <f>1/2*'Inputs &amp; Outputs'!$B$4*'Analytical Steps'!B193^2</f>
        <v>38.565815892965738</v>
      </c>
      <c r="F193">
        <f t="shared" si="2"/>
        <v>169.99999999999997</v>
      </c>
    </row>
    <row r="194" spans="1:6" x14ac:dyDescent="0.2">
      <c r="A194">
        <f>A193+'Inputs &amp; Outputs'!$B$6</f>
        <v>4.8254863159139454</v>
      </c>
      <c r="B194">
        <f>Calculations!$A$3*SIN(SQRT('Inputs &amp; Outputs'!$B$4/'Inputs &amp; Outputs'!$B$5)*A194+Calculations!$A$7)</f>
        <v>3.8362126486255645</v>
      </c>
      <c r="C194">
        <f>SQRT('Inputs &amp; Outputs'!$B$4/'Inputs &amp; Outputs'!$B$5)*Calculations!$A$3*COS(SQRT('Inputs &amp; Outputs'!$B$4/'Inputs &amp; Outputs'!$B$5)*A194+Calculations!$A$7)</f>
        <v>-3.6497764491310023</v>
      </c>
      <c r="D194">
        <f>1/2*'Inputs &amp; Outputs'!$B$5*'Analytical Steps'!C194^2</f>
        <v>133.20868128631307</v>
      </c>
      <c r="E194">
        <f>1/2*'Inputs &amp; Outputs'!$B$4*'Analytical Steps'!B194^2</f>
        <v>36.79131871368692</v>
      </c>
      <c r="F194">
        <f t="shared" si="2"/>
        <v>170</v>
      </c>
    </row>
    <row r="195" spans="1:6" x14ac:dyDescent="0.2">
      <c r="A195">
        <f>A194+'Inputs &amp; Outputs'!$B$6</f>
        <v>4.8506190571426639</v>
      </c>
      <c r="B195">
        <f>Calculations!$A$3*SIN(SQRT('Inputs &amp; Outputs'!$B$4/'Inputs &amp; Outputs'!$B$5)*A195+Calculations!$A$7)</f>
        <v>3.7441832845513585</v>
      </c>
      <c r="C195">
        <f>SQRT('Inputs &amp; Outputs'!$B$4/'Inputs &amp; Outputs'!$B$5)*Calculations!$A$3*COS(SQRT('Inputs &amp; Outputs'!$B$4/'Inputs &amp; Outputs'!$B$5)*A195+Calculations!$A$7)</f>
        <v>-3.6735912786973937</v>
      </c>
      <c r="D195">
        <f>1/2*'Inputs &amp; Outputs'!$B$5*'Analytical Steps'!C195^2</f>
        <v>134.95272882921552</v>
      </c>
      <c r="E195">
        <f>1/2*'Inputs &amp; Outputs'!$B$4*'Analytical Steps'!B195^2</f>
        <v>35.047271170784498</v>
      </c>
      <c r="F195">
        <f t="shared" ref="F195:F258" si="3">SUM(D195:E195)</f>
        <v>170</v>
      </c>
    </row>
    <row r="196" spans="1:6" x14ac:dyDescent="0.2">
      <c r="A196">
        <f>A195+'Inputs &amp; Outputs'!$B$6</f>
        <v>4.8757517983713825</v>
      </c>
      <c r="B196">
        <f>Calculations!$A$3*SIN(SQRT('Inputs &amp; Outputs'!$B$4/'Inputs &amp; Outputs'!$B$5)*A196+Calculations!$A$7)</f>
        <v>3.6515626705325714</v>
      </c>
      <c r="C196">
        <f>SQRT('Inputs &amp; Outputs'!$B$4/'Inputs &amp; Outputs'!$B$5)*Calculations!$A$3*COS(SQRT('Inputs &amp; Outputs'!$B$4/'Inputs &amp; Outputs'!$B$5)*A196+Calculations!$A$7)</f>
        <v>-3.6968260056152573</v>
      </c>
      <c r="D196">
        <f>1/2*'Inputs &amp; Outputs'!$B$5*'Analytical Steps'!C196^2</f>
        <v>136.66522515793258</v>
      </c>
      <c r="E196">
        <f>1/2*'Inputs &amp; Outputs'!$B$4*'Analytical Steps'!B196^2</f>
        <v>33.334774842067411</v>
      </c>
      <c r="F196">
        <f t="shared" si="3"/>
        <v>170</v>
      </c>
    </row>
    <row r="197" spans="1:6" x14ac:dyDescent="0.2">
      <c r="A197">
        <f>A196+'Inputs &amp; Outputs'!$B$6</f>
        <v>4.9008845396001011</v>
      </c>
      <c r="B197">
        <f>Calculations!$A$3*SIN(SQRT('Inputs &amp; Outputs'!$B$4/'Inputs &amp; Outputs'!$B$5)*A197+Calculations!$A$7)</f>
        <v>3.5583654324378511</v>
      </c>
      <c r="C197">
        <f>SQRT('Inputs &amp; Outputs'!$B$4/'Inputs &amp; Outputs'!$B$5)*Calculations!$A$3*COS(SQRT('Inputs &amp; Outputs'!$B$4/'Inputs &amp; Outputs'!$B$5)*A197+Calculations!$A$7)</f>
        <v>-3.7194769608518676</v>
      </c>
      <c r="D197">
        <f>1/2*'Inputs &amp; Outputs'!$B$5*'Analytical Steps'!C197^2</f>
        <v>138.34508862307845</v>
      </c>
      <c r="E197">
        <f>1/2*'Inputs &amp; Outputs'!$B$4*'Analytical Steps'!B197^2</f>
        <v>31.65491137692154</v>
      </c>
      <c r="F197">
        <f t="shared" si="3"/>
        <v>170</v>
      </c>
    </row>
    <row r="198" spans="1:6" x14ac:dyDescent="0.2">
      <c r="A198">
        <f>A197+'Inputs &amp; Outputs'!$B$6</f>
        <v>4.9260172808288196</v>
      </c>
      <c r="B198">
        <f>Calculations!$A$3*SIN(SQRT('Inputs &amp; Outputs'!$B$4/'Inputs &amp; Outputs'!$B$5)*A198+Calculations!$A$7)</f>
        <v>3.4646062871914673</v>
      </c>
      <c r="C198">
        <f>SQRT('Inputs &amp; Outputs'!$B$4/'Inputs &amp; Outputs'!$B$5)*Calculations!$A$3*COS(SQRT('Inputs &amp; Outputs'!$B$4/'Inputs &amp; Outputs'!$B$5)*A198+Calculations!$A$7)</f>
        <v>-3.7415405675588151</v>
      </c>
      <c r="D198">
        <f>1/2*'Inputs &amp; Outputs'!$B$5*'Analytical Steps'!C198^2</f>
        <v>139.99125818688341</v>
      </c>
      <c r="E198">
        <f>1/2*'Inputs &amp; Outputs'!$B$4*'Analytical Steps'!B198^2</f>
        <v>30.008741813116615</v>
      </c>
      <c r="F198">
        <f t="shared" si="3"/>
        <v>170.00000000000003</v>
      </c>
    </row>
    <row r="199" spans="1:6" x14ac:dyDescent="0.2">
      <c r="A199">
        <f>A198+'Inputs &amp; Outputs'!$B$6</f>
        <v>4.9511500220575382</v>
      </c>
      <c r="B199">
        <f>Calculations!$A$3*SIN(SQRT('Inputs &amp; Outputs'!$B$4/'Inputs &amp; Outputs'!$B$5)*A199+Calculations!$A$7)</f>
        <v>3.3703000404493459</v>
      </c>
      <c r="C199">
        <f>SQRT('Inputs &amp; Outputs'!$B$4/'Inputs &amp; Outputs'!$B$5)*Calculations!$A$3*COS(SQRT('Inputs &amp; Outputs'!$B$4/'Inputs &amp; Outputs'!$B$5)*A199+Calculations!$A$7)</f>
        <v>-3.7630133416368303</v>
      </c>
      <c r="D199">
        <f>1/2*'Inputs &amp; Outputs'!$B$5*'Analytical Steps'!C199^2</f>
        <v>141.60269409336786</v>
      </c>
      <c r="E199">
        <f>1/2*'Inputs &amp; Outputs'!$B$4*'Analytical Steps'!B199^2</f>
        <v>28.397305906632155</v>
      </c>
      <c r="F199">
        <f t="shared" si="3"/>
        <v>170</v>
      </c>
    </row>
    <row r="200" spans="1:6" x14ac:dyDescent="0.2">
      <c r="A200">
        <f>A199+'Inputs &amp; Outputs'!$B$6</f>
        <v>4.9762827632862567</v>
      </c>
      <c r="B200">
        <f>Calculations!$A$3*SIN(SQRT('Inputs &amp; Outputs'!$B$4/'Inputs &amp; Outputs'!$B$5)*A200+Calculations!$A$7)</f>
        <v>3.2754615842610804</v>
      </c>
      <c r="C200">
        <f>SQRT('Inputs &amp; Outputs'!$B$4/'Inputs &amp; Outputs'!$B$5)*Calculations!$A$3*COS(SQRT('Inputs &amp; Outputs'!$B$4/'Inputs &amp; Outputs'!$B$5)*A200+Calculations!$A$7)</f>
        <v>-3.7838918922859666</v>
      </c>
      <c r="D200">
        <f>1/2*'Inputs &amp; Outputs'!$B$5*'Analytical Steps'!C200^2</f>
        <v>143.17837852507472</v>
      </c>
      <c r="E200">
        <f>1/2*'Inputs &amp; Outputs'!$B$4*'Analytical Steps'!B200^2</f>
        <v>26.821621474925266</v>
      </c>
      <c r="F200">
        <f t="shared" si="3"/>
        <v>170</v>
      </c>
    </row>
    <row r="201" spans="1:6" x14ac:dyDescent="0.2">
      <c r="A201">
        <f>A200+'Inputs &amp; Outputs'!$B$6</f>
        <v>5.0014155045149753</v>
      </c>
      <c r="B201">
        <f>Calculations!$A$3*SIN(SQRT('Inputs &amp; Outputs'!$B$4/'Inputs &amp; Outputs'!$B$5)*A201+Calculations!$A$7)</f>
        <v>3.1801058947183041</v>
      </c>
      <c r="C201">
        <f>SQRT('Inputs &amp; Outputs'!$B$4/'Inputs &amp; Outputs'!$B$5)*Calculations!$A$3*COS(SQRT('Inputs &amp; Outputs'!$B$4/'Inputs &amp; Outputs'!$B$5)*A201+Calculations!$A$7)</f>
        <v>-3.8041729225410448</v>
      </c>
      <c r="D201">
        <f>1/2*'Inputs &amp; Outputs'!$B$5*'Analytical Steps'!C201^2</f>
        <v>144.71731624594474</v>
      </c>
      <c r="E201">
        <f>1/2*'Inputs &amp; Outputs'!$B$4*'Analytical Steps'!B201^2</f>
        <v>25.282683754055263</v>
      </c>
      <c r="F201">
        <f t="shared" si="3"/>
        <v>170</v>
      </c>
    </row>
    <row r="202" spans="1:6" x14ac:dyDescent="0.2">
      <c r="A202">
        <f>A201+'Inputs &amp; Outputs'!$B$6</f>
        <v>5.0265482457436939</v>
      </c>
      <c r="B202">
        <f>Calculations!$A$3*SIN(SQRT('Inputs &amp; Outputs'!$B$4/'Inputs &amp; Outputs'!$B$5)*A202+Calculations!$A$7)</f>
        <v>3.0842480295897956</v>
      </c>
      <c r="C202">
        <f>SQRT('Inputs &amp; Outputs'!$B$4/'Inputs &amp; Outputs'!$B$5)*Calculations!$A$3*COS(SQRT('Inputs &amp; Outputs'!$B$4/'Inputs &amp; Outputs'!$B$5)*A202+Calculations!$A$7)</f>
        <v>-3.8238532297922818</v>
      </c>
      <c r="D202">
        <f>1/2*'Inputs &amp; Outputs'!$B$5*'Analytical Steps'!C202^2</f>
        <v>146.21853522992865</v>
      </c>
      <c r="E202">
        <f>1/2*'Inputs &amp; Outputs'!$B$4*'Analytical Steps'!B202^2</f>
        <v>23.781464770071345</v>
      </c>
      <c r="F202">
        <f t="shared" si="3"/>
        <v>170</v>
      </c>
    </row>
    <row r="203" spans="1:6" x14ac:dyDescent="0.2">
      <c r="A203">
        <f>A202+'Inputs &amp; Outputs'!$B$6</f>
        <v>5.0516809869724124</v>
      </c>
      <c r="B203">
        <f>Calculations!$A$3*SIN(SQRT('Inputs &amp; Outputs'!$B$4/'Inputs &amp; Outputs'!$B$5)*A203+Calculations!$A$7)</f>
        <v>2.9879031259436766</v>
      </c>
      <c r="C203">
        <f>SQRT('Inputs &amp; Outputs'!$B$4/'Inputs &amp; Outputs'!$B$5)*Calculations!$A$3*COS(SQRT('Inputs &amp; Outputs'!$B$4/'Inputs &amp; Outputs'!$B$5)*A203+Calculations!$A$7)</f>
        <v>-3.8429297062910219</v>
      </c>
      <c r="D203">
        <f>1/2*'Inputs &amp; Outputs'!$B$5*'Analytical Steps'!C203^2</f>
        <v>147.68108727494001</v>
      </c>
      <c r="E203">
        <f>1/2*'Inputs &amp; Outputs'!$B$4*'Analytical Steps'!B203^2</f>
        <v>22.318912725059981</v>
      </c>
      <c r="F203">
        <f t="shared" si="3"/>
        <v>170</v>
      </c>
    </row>
    <row r="204" spans="1:6" x14ac:dyDescent="0.2">
      <c r="A204">
        <f>A203+'Inputs &amp; Outputs'!$B$6</f>
        <v>5.076813728201131</v>
      </c>
      <c r="B204">
        <f>Calculations!$A$3*SIN(SQRT('Inputs &amp; Outputs'!$B$4/'Inputs &amp; Outputs'!$B$5)*A204+Calculations!$A$7)</f>
        <v>2.8910863977570997</v>
      </c>
      <c r="C204">
        <f>SQRT('Inputs &amp; Outputs'!$B$4/'Inputs &amp; Outputs'!$B$5)*Calculations!$A$3*COS(SQRT('Inputs &amp; Outputs'!$B$4/'Inputs &amp; Outputs'!$B$5)*A204+Calculations!$A$7)</f>
        <v>-3.8613993396404842</v>
      </c>
      <c r="D204">
        <f>1/2*'Inputs &amp; Outputs'!$B$5*'Analytical Steps'!C204^2</f>
        <v>149.10404860175967</v>
      </c>
      <c r="E204">
        <f>1/2*'Inputs &amp; Outputs'!$B$4*'Analytical Steps'!B204^2</f>
        <v>20.895951398240307</v>
      </c>
      <c r="F204">
        <f t="shared" si="3"/>
        <v>169.99999999999997</v>
      </c>
    </row>
    <row r="205" spans="1:6" x14ac:dyDescent="0.2">
      <c r="A205">
        <f>A204+'Inputs &amp; Outputs'!$B$6</f>
        <v>5.1019464694298495</v>
      </c>
      <c r="B205">
        <f>Calculations!$A$3*SIN(SQRT('Inputs &amp; Outputs'!$B$4/'Inputs &amp; Outputs'!$B$5)*A205+Calculations!$A$7)</f>
        <v>2.7938131335137801</v>
      </c>
      <c r="C205">
        <f>SQRT('Inputs &amp; Outputs'!$B$4/'Inputs &amp; Outputs'!$B$5)*Calculations!$A$3*COS(SQRT('Inputs &amp; Outputs'!$B$4/'Inputs &amp; Outputs'!$B$5)*A205+Calculations!$A$7)</f>
        <v>-3.8792592132714563</v>
      </c>
      <c r="D205">
        <f>1/2*'Inputs &amp; Outputs'!$B$5*'Analytical Steps'!C205^2</f>
        <v>150.48652043751477</v>
      </c>
      <c r="E205">
        <f>1/2*'Inputs &amp; Outputs'!$B$4*'Analytical Steps'!B205^2</f>
        <v>19.51347956248522</v>
      </c>
      <c r="F205">
        <f t="shared" si="3"/>
        <v>170</v>
      </c>
    </row>
    <row r="206" spans="1:6" x14ac:dyDescent="0.2">
      <c r="A206">
        <f>A205+'Inputs &amp; Outputs'!$B$6</f>
        <v>5.1270792106585681</v>
      </c>
      <c r="B206">
        <f>Calculations!$A$3*SIN(SQRT('Inputs &amp; Outputs'!$B$4/'Inputs &amp; Outputs'!$B$5)*A206+Calculations!$A$7)</f>
        <v>2.6960986937897693</v>
      </c>
      <c r="C206">
        <f>SQRT('Inputs &amp; Outputs'!$B$4/'Inputs &amp; Outputs'!$B$5)*Calculations!$A$3*COS(SQRT('Inputs &amp; Outputs'!$B$4/'Inputs &amp; Outputs'!$B$5)*A206+Calculations!$A$7)</f>
        <v>-3.8965065069028535</v>
      </c>
      <c r="D206">
        <f>1/2*'Inputs &amp; Outputs'!$B$5*'Analytical Steps'!C206^2</f>
        <v>151.82762958336275</v>
      </c>
      <c r="E206">
        <f>1/2*'Inputs &amp; Outputs'!$B$4*'Analytical Steps'!B206^2</f>
        <v>18.17237041663725</v>
      </c>
      <c r="F206">
        <f t="shared" si="3"/>
        <v>170</v>
      </c>
    </row>
    <row r="207" spans="1:6" x14ac:dyDescent="0.2">
      <c r="A207">
        <f>A206+'Inputs &amp; Outputs'!$B$6</f>
        <v>5.1522119518872866</v>
      </c>
      <c r="B207">
        <f>Calculations!$A$3*SIN(SQRT('Inputs &amp; Outputs'!$B$4/'Inputs &amp; Outputs'!$B$5)*A207+Calculations!$A$7)</f>
        <v>2.5979585088278419</v>
      </c>
      <c r="C207">
        <f>SQRT('Inputs &amp; Outputs'!$B$4/'Inputs &amp; Outputs'!$B$5)*Calculations!$A$3*COS(SQRT('Inputs &amp; Outputs'!$B$4/'Inputs &amp; Outputs'!$B$5)*A207+Calculations!$A$7)</f>
        <v>-3.9131384969870737</v>
      </c>
      <c r="D207">
        <f>1/2*'Inputs &amp; Outputs'!$B$5*'Analytical Steps'!C207^2</f>
        <v>153.12652896602253</v>
      </c>
      <c r="E207">
        <f>1/2*'Inputs &amp; Outputs'!$B$4*'Analytical Steps'!B207^2</f>
        <v>16.873471033977459</v>
      </c>
      <c r="F207">
        <f t="shared" si="3"/>
        <v>170</v>
      </c>
    </row>
    <row r="208" spans="1:6" x14ac:dyDescent="0.2">
      <c r="A208">
        <f>A207+'Inputs &amp; Outputs'!$B$6</f>
        <v>5.1773446931160052</v>
      </c>
      <c r="B208">
        <f>Calculations!$A$3*SIN(SQRT('Inputs &amp; Outputs'!$B$4/'Inputs &amp; Outputs'!$B$5)*A208+Calculations!$A$7)</f>
        <v>2.4994080761008792</v>
      </c>
      <c r="C208">
        <f>SQRT('Inputs &amp; Outputs'!$B$4/'Inputs &amp; Outputs'!$B$5)*Calculations!$A$3*COS(SQRT('Inputs &amp; Outputs'!$B$4/'Inputs &amp; Outputs'!$B$5)*A208+Calculations!$A$7)</f>
        <v>-3.9291525571400796</v>
      </c>
      <c r="D208">
        <f>1/2*'Inputs &amp; Outputs'!$B$5*'Analytical Steps'!C208^2</f>
        <v>154.38239817280424</v>
      </c>
      <c r="E208">
        <f>1/2*'Inputs &amp; Outputs'!$B$4*'Analytical Steps'!B208^2</f>
        <v>15.617601827195745</v>
      </c>
      <c r="F208">
        <f t="shared" si="3"/>
        <v>170</v>
      </c>
    </row>
    <row r="209" spans="1:6" x14ac:dyDescent="0.2">
      <c r="A209">
        <f>A208+'Inputs &amp; Outputs'!$B$6</f>
        <v>5.2024774343447238</v>
      </c>
      <c r="B209">
        <f>Calculations!$A$3*SIN(SQRT('Inputs &amp; Outputs'!$B$4/'Inputs &amp; Outputs'!$B$5)*A209+Calculations!$A$7)</f>
        <v>2.4004629578646437</v>
      </c>
      <c r="C209">
        <f>SQRT('Inputs &amp; Outputs'!$B$4/'Inputs &amp; Outputs'!$B$5)*Calculations!$A$3*COS(SQRT('Inputs &amp; Outputs'!$B$4/'Inputs &amp; Outputs'!$B$5)*A209+Calculations!$A$7)</f>
        <v>-3.9445461585561317</v>
      </c>
      <c r="D209">
        <f>1/2*'Inputs &amp; Outputs'!$B$5*'Analytical Steps'!C209^2</f>
        <v>155.59444396979933</v>
      </c>
      <c r="E209">
        <f>1/2*'Inputs &amp; Outputs'!$B$4*'Analytical Steps'!B209^2</f>
        <v>14.405556030200685</v>
      </c>
      <c r="F209">
        <f t="shared" si="3"/>
        <v>170</v>
      </c>
    </row>
    <row r="210" spans="1:6" x14ac:dyDescent="0.2">
      <c r="A210">
        <f>A209+'Inputs &amp; Outputs'!$B$6</f>
        <v>5.2276101755734423</v>
      </c>
      <c r="B210">
        <f>Calculations!$A$3*SIN(SQRT('Inputs &amp; Outputs'!$B$4/'Inputs &amp; Outputs'!$B$5)*A210+Calculations!$A$7)</f>
        <v>2.3011387787003108</v>
      </c>
      <c r="C210">
        <f>SQRT('Inputs &amp; Outputs'!$B$4/'Inputs &amp; Outputs'!$B$5)*Calculations!$A$3*COS(SQRT('Inputs &amp; Outputs'!$B$4/'Inputs &amp; Outputs'!$B$5)*A210+Calculations!$A$7)</f>
        <v>-3.9593168704071178</v>
      </c>
      <c r="D210">
        <f>1/2*'Inputs &amp; Outputs'!$B$5*'Analytical Steps'!C210^2</f>
        <v>156.76190080290414</v>
      </c>
      <c r="E210">
        <f>1/2*'Inputs &amp; Outputs'!$B$4*'Analytical Steps'!B210^2</f>
        <v>13.238099197095893</v>
      </c>
      <c r="F210">
        <f t="shared" si="3"/>
        <v>170.00000000000003</v>
      </c>
    </row>
    <row r="211" spans="1:6" x14ac:dyDescent="0.2">
      <c r="A211">
        <f>A210+'Inputs &amp; Outputs'!$B$6</f>
        <v>5.2527429168021609</v>
      </c>
      <c r="B211">
        <f>Calculations!$A$3*SIN(SQRT('Inputs &amp; Outputs'!$B$4/'Inputs &amp; Outputs'!$B$5)*A211+Calculations!$A$7)</f>
        <v>2.201451223047175</v>
      </c>
      <c r="C211">
        <f>SQRT('Inputs &amp; Outputs'!$B$4/'Inputs &amp; Outputs'!$B$5)*Calculations!$A$3*COS(SQRT('Inputs &amp; Outputs'!$B$4/'Inputs &amp; Outputs'!$B$5)*A211+Calculations!$A$7)</f>
        <v>-3.9734623602264088</v>
      </c>
      <c r="D211">
        <f>1/2*'Inputs &amp; Outputs'!$B$5*'Analytical Steps'!C211^2</f>
        <v>157.88403128136022</v>
      </c>
      <c r="E211">
        <f>1/2*'Inputs &amp; Outputs'!$B$4*'Analytical Steps'!B211^2</f>
        <v>12.115968718639756</v>
      </c>
      <c r="F211">
        <f t="shared" si="3"/>
        <v>169.99999999999997</v>
      </c>
    </row>
    <row r="212" spans="1:6" x14ac:dyDescent="0.2">
      <c r="A212">
        <f>A211+'Inputs &amp; Outputs'!$B$6</f>
        <v>5.2778756580308794</v>
      </c>
      <c r="B212">
        <f>Calculations!$A$3*SIN(SQRT('Inputs &amp; Outputs'!$B$4/'Inputs &amp; Outputs'!$B$5)*A212+Calculations!$A$7)</f>
        <v>2.1014160327258877</v>
      </c>
      <c r="C212">
        <f>SQRT('Inputs &amp; Outputs'!$B$4/'Inputs &amp; Outputs'!$B$5)*Calculations!$A$3*COS(SQRT('Inputs &amp; Outputs'!$B$4/'Inputs &amp; Outputs'!$B$5)*A212+Calculations!$A$7)</f>
        <v>-3.9869803942771838</v>
      </c>
      <c r="D212">
        <f>1/2*'Inputs &amp; Outputs'!$B$5*'Analytical Steps'!C212^2</f>
        <v>158.96012664350647</v>
      </c>
      <c r="E212">
        <f>1/2*'Inputs &amp; Outputs'!$B$4*'Analytical Steps'!B212^2</f>
        <v>11.039873356493523</v>
      </c>
      <c r="F212">
        <f t="shared" si="3"/>
        <v>170</v>
      </c>
    </row>
    <row r="213" spans="1:6" x14ac:dyDescent="0.2">
      <c r="A213">
        <f>A212+'Inputs &amp; Outputs'!$B$6</f>
        <v>5.303008399259598</v>
      </c>
      <c r="B213">
        <f>Calculations!$A$3*SIN(SQRT('Inputs &amp; Outputs'!$B$4/'Inputs &amp; Outputs'!$B$5)*A213+Calculations!$A$7)</f>
        <v>2.0010490044526454</v>
      </c>
      <c r="C213">
        <f>SQRT('Inputs &amp; Outputs'!$B$4/'Inputs &amp; Outputs'!$B$5)*Calculations!$A$3*COS(SQRT('Inputs &amp; Outputs'!$B$4/'Inputs &amp; Outputs'!$B$5)*A213+Calculations!$A$7)</f>
        <v>-3.9998688379051592</v>
      </c>
      <c r="D213">
        <f>1/2*'Inputs &amp; Outputs'!$B$5*'Analytical Steps'!C213^2</f>
        <v>159.9895072044477</v>
      </c>
      <c r="E213">
        <f>1/2*'Inputs &amp; Outputs'!$B$4*'Analytical Steps'!B213^2</f>
        <v>10.010492795552308</v>
      </c>
      <c r="F213">
        <f t="shared" si="3"/>
        <v>170</v>
      </c>
    </row>
    <row r="214" spans="1:6" x14ac:dyDescent="0.2">
      <c r="A214">
        <f>A213+'Inputs &amp; Outputs'!$B$6</f>
        <v>5.3281411404883166</v>
      </c>
      <c r="B214">
        <f>Calculations!$A$3*SIN(SQRT('Inputs &amp; Outputs'!$B$4/'Inputs &amp; Outputs'!$B$5)*A214+Calculations!$A$7)</f>
        <v>1.9003659873447041</v>
      </c>
      <c r="C214">
        <f>SQRT('Inputs &amp; Outputs'!$B$4/'Inputs &amp; Outputs'!$B$5)*Calculations!$A$3*COS(SQRT('Inputs &amp; Outputs'!$B$4/'Inputs &amp; Outputs'!$B$5)*A214+Calculations!$A$7)</f>
        <v>-4.0121256558756793</v>
      </c>
      <c r="D214">
        <f>1/2*'Inputs &amp; Outputs'!$B$5*'Analytical Steps'!C214^2</f>
        <v>160.97152278535847</v>
      </c>
      <c r="E214">
        <f>1/2*'Inputs &amp; Outputs'!$B$4*'Analytical Steps'!B214^2</f>
        <v>9.02847721464153</v>
      </c>
      <c r="F214">
        <f t="shared" si="3"/>
        <v>170</v>
      </c>
    </row>
    <row r="215" spans="1:6" x14ac:dyDescent="0.2">
      <c r="A215">
        <f>A214+'Inputs &amp; Outputs'!$B$6</f>
        <v>5.3532738817170351</v>
      </c>
      <c r="B215">
        <f>Calculations!$A$3*SIN(SQRT('Inputs &amp; Outputs'!$B$4/'Inputs &amp; Outputs'!$B$5)*A215+Calculations!$A$7)</f>
        <v>1.7993828804176195</v>
      </c>
      <c r="C215">
        <f>SQRT('Inputs &amp; Outputs'!$B$4/'Inputs &amp; Outputs'!$B$5)*Calculations!$A$3*COS(SQRT('Inputs &amp; Outputs'!$B$4/'Inputs &amp; Outputs'!$B$5)*A215+Calculations!$A$7)</f>
        <v>-4.0237489126951003</v>
      </c>
      <c r="D215">
        <f>1/2*'Inputs &amp; Outputs'!$B$5*'Analytical Steps'!C215^2</f>
        <v>161.90555312415</v>
      </c>
      <c r="E215">
        <f>1/2*'Inputs &amp; Outputs'!$B$4*'Analytical Steps'!B215^2</f>
        <v>8.0944468758500232</v>
      </c>
      <c r="F215">
        <f t="shared" si="3"/>
        <v>170.00000000000003</v>
      </c>
    </row>
    <row r="216" spans="1:6" x14ac:dyDescent="0.2">
      <c r="A216">
        <f>A215+'Inputs &amp; Outputs'!$B$6</f>
        <v>5.3784066229457537</v>
      </c>
      <c r="B216">
        <f>Calculations!$A$3*SIN(SQRT('Inputs &amp; Outputs'!$B$4/'Inputs &amp; Outputs'!$B$5)*A216+Calculations!$A$7)</f>
        <v>1.6981156300746092</v>
      </c>
      <c r="C216">
        <f>SQRT('Inputs &amp; Outputs'!$B$4/'Inputs &amp; Outputs'!$B$5)*Calculations!$A$3*COS(SQRT('Inputs &amp; Outputs'!$B$4/'Inputs &amp; Outputs'!$B$5)*A216+Calculations!$A$7)</f>
        <v>-4.0347367729164283</v>
      </c>
      <c r="D216">
        <f>1/2*'Inputs &amp; Outputs'!$B$5*'Analytical Steps'!C216^2</f>
        <v>162.79100826724076</v>
      </c>
      <c r="E216">
        <f>1/2*'Inputs &amp; Outputs'!$B$4*'Analytical Steps'!B216^2</f>
        <v>7.2089917327592179</v>
      </c>
      <c r="F216">
        <f t="shared" si="3"/>
        <v>169.99999999999997</v>
      </c>
    </row>
    <row r="217" spans="1:6" x14ac:dyDescent="0.2">
      <c r="A217">
        <f>A216+'Inputs &amp; Outputs'!$B$6</f>
        <v>5.4035393641744722</v>
      </c>
      <c r="B217">
        <f>Calculations!$A$3*SIN(SQRT('Inputs &amp; Outputs'!$B$4/'Inputs &amp; Outputs'!$B$5)*A217+Calculations!$A$7)</f>
        <v>1.5965802275884289</v>
      </c>
      <c r="C217">
        <f>SQRT('Inputs &amp; Outputs'!$B$4/'Inputs &amp; Outputs'!$B$5)*Calculations!$A$3*COS(SQRT('Inputs &amp; Outputs'!$B$4/'Inputs &amp; Outputs'!$B$5)*A217+Calculations!$A$7)</f>
        <v>-4.0450875014291618</v>
      </c>
      <c r="D217">
        <f>1/2*'Inputs &amp; Outputs'!$B$5*'Analytical Steps'!C217^2</f>
        <v>163.62732894218419</v>
      </c>
      <c r="E217">
        <f>1/2*'Inputs &amp; Outputs'!$B$4*'Analytical Steps'!B217^2</f>
        <v>6.3726710578157988</v>
      </c>
      <c r="F217">
        <f t="shared" si="3"/>
        <v>170</v>
      </c>
    </row>
    <row r="218" spans="1:6" x14ac:dyDescent="0.2">
      <c r="A218">
        <f>A217+'Inputs &amp; Outputs'!$B$6</f>
        <v>5.4286721054031908</v>
      </c>
      <c r="B218">
        <f>Calculations!$A$3*SIN(SQRT('Inputs &amp; Outputs'!$B$4/'Inputs &amp; Outputs'!$B$5)*A218+Calculations!$A$7)</f>
        <v>1.4947927065761675</v>
      </c>
      <c r="C218">
        <f>SQRT('Inputs &amp; Outputs'!$B$4/'Inputs &amp; Outputs'!$B$5)*Calculations!$A$3*COS(SQRT('Inputs &amp; Outputs'!$B$4/'Inputs &amp; Outputs'!$B$5)*A218+Calculations!$A$7)</f>
        <v>-4.0547994637332776</v>
      </c>
      <c r="D218">
        <f>1/2*'Inputs &amp; Outputs'!$B$5*'Analytical Steps'!C218^2</f>
        <v>164.41398691091675</v>
      </c>
      <c r="E218">
        <f>1/2*'Inputs &amp; Outputs'!$B$4*'Analytical Steps'!B218^2</f>
        <v>5.5860130890832602</v>
      </c>
      <c r="F218">
        <f t="shared" si="3"/>
        <v>170</v>
      </c>
    </row>
    <row r="219" spans="1:6" x14ac:dyDescent="0.2">
      <c r="A219">
        <f>A218+'Inputs &amp; Outputs'!$B$6</f>
        <v>5.4538048466319093</v>
      </c>
      <c r="B219">
        <f>Calculations!$A$3*SIN(SQRT('Inputs &amp; Outputs'!$B$4/'Inputs &amp; Outputs'!$B$5)*A219+Calculations!$A$7)</f>
        <v>1.3927691404673506</v>
      </c>
      <c r="C219">
        <f>SQRT('Inputs &amp; Outputs'!$B$4/'Inputs &amp; Outputs'!$B$5)*Calculations!$A$3*COS(SQRT('Inputs &amp; Outputs'!$B$4/'Inputs &amp; Outputs'!$B$5)*A219+Calculations!$A$7)</f>
        <v>-4.063871126197343</v>
      </c>
      <c r="D219">
        <f>1/2*'Inputs &amp; Outputs'!$B$5*'Analytical Steps'!C219^2</f>
        <v>165.15048530340462</v>
      </c>
      <c r="E219">
        <f>1/2*'Inputs &amp; Outputs'!$B$4*'Analytical Steps'!B219^2</f>
        <v>4.8495146965954063</v>
      </c>
      <c r="F219">
        <f t="shared" si="3"/>
        <v>170.00000000000003</v>
      </c>
    </row>
    <row r="220" spans="1:6" x14ac:dyDescent="0.2">
      <c r="A220">
        <f>A219+'Inputs &amp; Outputs'!$B$6</f>
        <v>5.4789375878606279</v>
      </c>
      <c r="B220">
        <f>Calculations!$A$3*SIN(SQRT('Inputs &amp; Outputs'!$B$4/'Inputs &amp; Outputs'!$B$5)*A220+Calculations!$A$7)</f>
        <v>1.2905256399657621</v>
      </c>
      <c r="C220">
        <f>SQRT('Inputs &amp; Outputs'!$B$4/'Inputs &amp; Outputs'!$B$5)*Calculations!$A$3*COS(SQRT('Inputs &amp; Outputs'!$B$4/'Inputs &amp; Outputs'!$B$5)*A220+Calculations!$A$7)</f>
        <v>-4.0723010563006934</v>
      </c>
      <c r="D220">
        <f>1/2*'Inputs &amp; Outputs'!$B$5*'Analytical Steps'!C220^2</f>
        <v>165.83635893147743</v>
      </c>
      <c r="E220">
        <f>1/2*'Inputs &amp; Outputs'!$B$4*'Analytical Steps'!B220^2</f>
        <v>4.1636410685225993</v>
      </c>
      <c r="F220">
        <f t="shared" si="3"/>
        <v>170.00000000000003</v>
      </c>
    </row>
    <row r="221" spans="1:6" x14ac:dyDescent="0.2">
      <c r="A221">
        <f>A220+'Inputs &amp; Outputs'!$B$6</f>
        <v>5.5040703290893465</v>
      </c>
      <c r="B221">
        <f>Calculations!$A$3*SIN(SQRT('Inputs &amp; Outputs'!$B$4/'Inputs &amp; Outputs'!$B$5)*A221+Calculations!$A$7)</f>
        <v>1.1880783505053751</v>
      </c>
      <c r="C221">
        <f>SQRT('Inputs &amp; Outputs'!$B$4/'Inputs &amp; Outputs'!$B$5)*Calculations!$A$3*COS(SQRT('Inputs &amp; Outputs'!$B$4/'Inputs &amp; Outputs'!$B$5)*A221+Calculations!$A$7)</f>
        <v>-4.0800879228596418</v>
      </c>
      <c r="D221">
        <f>1/2*'Inputs &amp; Outputs'!$B$5*'Analytical Steps'!C221^2</f>
        <v>166.47117458265109</v>
      </c>
      <c r="E221">
        <f>1/2*'Inputs &amp; Outputs'!$B$4*'Analytical Steps'!B221^2</f>
        <v>3.5288254173489326</v>
      </c>
      <c r="F221">
        <f t="shared" si="3"/>
        <v>170.00000000000003</v>
      </c>
    </row>
    <row r="222" spans="1:6" x14ac:dyDescent="0.2">
      <c r="A222">
        <f>A221+'Inputs &amp; Outputs'!$B$6</f>
        <v>5.529203070318065</v>
      </c>
      <c r="B222">
        <f>Calculations!$A$3*SIN(SQRT('Inputs &amp; Outputs'!$B$4/'Inputs &amp; Outputs'!$B$5)*A222+Calculations!$A$7)</f>
        <v>1.0854434497008021</v>
      </c>
      <c r="C222">
        <f>SQRT('Inputs &amp; Outputs'!$B$4/'Inputs &amp; Outputs'!$B$5)*Calculations!$A$3*COS(SQRT('Inputs &amp; Outputs'!$B$4/'Inputs &amp; Outputs'!$B$5)*A222+Calculations!$A$7)</f>
        <v>-4.0872304962376917</v>
      </c>
      <c r="D222">
        <f>1/2*'Inputs &amp; Outputs'!$B$5*'Analytical Steps'!C222^2</f>
        <v>167.05453129375405</v>
      </c>
      <c r="E222">
        <f>1/2*'Inputs &amp; Outputs'!$B$4*'Analytical Steps'!B222^2</f>
        <v>2.9454687062459439</v>
      </c>
      <c r="F222">
        <f t="shared" si="3"/>
        <v>170</v>
      </c>
    </row>
    <row r="223" spans="1:6" x14ac:dyDescent="0.2">
      <c r="A223">
        <f>A222+'Inputs &amp; Outputs'!$B$6</f>
        <v>5.5543358115467836</v>
      </c>
      <c r="B223">
        <f>Calculations!$A$3*SIN(SQRT('Inputs &amp; Outputs'!$B$4/'Inputs &amp; Outputs'!$B$5)*A223+Calculations!$A$7)</f>
        <v>0.98263714479266173</v>
      </c>
      <c r="C223">
        <f>SQRT('Inputs &amp; Outputs'!$B$4/'Inputs &amp; Outputs'!$B$5)*Calculations!$A$3*COS(SQRT('Inputs &amp; Outputs'!$B$4/'Inputs &amp; Outputs'!$B$5)*A223+Calculations!$A$7)</f>
        <v>-4.0937276485397058</v>
      </c>
      <c r="D223">
        <f>1/2*'Inputs &amp; Outputs'!$B$5*'Analytical Steps'!C223^2</f>
        <v>167.5860606041843</v>
      </c>
      <c r="E223">
        <f>1/2*'Inputs &amp; Outputs'!$B$4*'Analytical Steps'!B223^2</f>
        <v>2.4139393958156861</v>
      </c>
      <c r="F223">
        <f t="shared" si="3"/>
        <v>169.99999999999997</v>
      </c>
    </row>
    <row r="224" spans="1:6" x14ac:dyDescent="0.2">
      <c r="A224">
        <f>A223+'Inputs &amp; Outputs'!$B$6</f>
        <v>5.5794685527755021</v>
      </c>
      <c r="B224">
        <f>Calculations!$A$3*SIN(SQRT('Inputs &amp; Outputs'!$B$4/'Inputs &amp; Outputs'!$B$5)*A224+Calculations!$A$7)</f>
        <v>0.87967567008826741</v>
      </c>
      <c r="C224">
        <f>SQRT('Inputs &amp; Outputs'!$B$4/'Inputs &amp; Outputs'!$B$5)*Calculations!$A$3*COS(SQRT('Inputs &amp; Outputs'!$B$4/'Inputs &amp; Outputs'!$B$5)*A224+Calculations!$A$7)</f>
        <v>-4.0995783537900197</v>
      </c>
      <c r="D224">
        <f>1/2*'Inputs &amp; Outputs'!$B$5*'Analytical Steps'!C224^2</f>
        <v>168.0654267886369</v>
      </c>
      <c r="E224">
        <f>1/2*'Inputs &amp; Outputs'!$B$4*'Analytical Steps'!B224^2</f>
        <v>1.9345732113631056</v>
      </c>
      <c r="F224">
        <f t="shared" si="3"/>
        <v>170</v>
      </c>
    </row>
    <row r="225" spans="1:6" x14ac:dyDescent="0.2">
      <c r="A225">
        <f>A224+'Inputs &amp; Outputs'!$B$6</f>
        <v>5.6046012940042207</v>
      </c>
      <c r="B225">
        <f>Calculations!$A$3*SIN(SQRT('Inputs &amp; Outputs'!$B$4/'Inputs &amp; Outputs'!$B$5)*A225+Calculations!$A$7)</f>
        <v>0.77657528439804224</v>
      </c>
      <c r="C225">
        <f>SQRT('Inputs &amp; Outputs'!$B$4/'Inputs &amp; Outputs'!$B$5)*Calculations!$A$3*COS(SQRT('Inputs &amp; Outputs'!$B$4/'Inputs &amp; Outputs'!$B$5)*A225+Calculations!$A$7)</f>
        <v>-4.1047816880944508</v>
      </c>
      <c r="D225">
        <f>1/2*'Inputs &amp; Outputs'!$B$5*'Analytical Steps'!C225^2</f>
        <v>168.49232706915529</v>
      </c>
      <c r="E225">
        <f>1/2*'Inputs &amp; Outputs'!$B$4*'Analytical Steps'!B225^2</f>
        <v>1.5076729308447503</v>
      </c>
      <c r="F225">
        <f t="shared" si="3"/>
        <v>170.00000000000006</v>
      </c>
    </row>
    <row r="226" spans="1:6" x14ac:dyDescent="0.2">
      <c r="A226">
        <f>A225+'Inputs &amp; Outputs'!$B$6</f>
        <v>5.6297340352329392</v>
      </c>
      <c r="B226">
        <f>Calculations!$A$3*SIN(SQRT('Inputs &amp; Outputs'!$B$4/'Inputs &amp; Outputs'!$B$5)*A226+Calculations!$A$7)</f>
        <v>0.67335226846806451</v>
      </c>
      <c r="C226">
        <f>SQRT('Inputs &amp; Outputs'!$B$4/'Inputs &amp; Outputs'!$B$5)*Calculations!$A$3*COS(SQRT('Inputs &amp; Outputs'!$B$4/'Inputs &amp; Outputs'!$B$5)*A226+Calculations!$A$7)</f>
        <v>-4.1093368297861916</v>
      </c>
      <c r="D226">
        <f>1/2*'Inputs &amp; Outputs'!$B$5*'Analytical Steps'!C226^2</f>
        <v>168.86649180637227</v>
      </c>
      <c r="E226">
        <f>1/2*'Inputs &amp; Outputs'!$B$4*'Analytical Steps'!B226^2</f>
        <v>1.1335081936277212</v>
      </c>
      <c r="F226">
        <f t="shared" si="3"/>
        <v>170</v>
      </c>
    </row>
    <row r="227" spans="1:6" x14ac:dyDescent="0.2">
      <c r="A227">
        <f>A226+'Inputs &amp; Outputs'!$B$6</f>
        <v>5.6548667764616578</v>
      </c>
      <c r="B227">
        <f>Calculations!$A$3*SIN(SQRT('Inputs &amp; Outputs'!$B$4/'Inputs &amp; Outputs'!$B$5)*A227+Calculations!$A$7)</f>
        <v>0.57002292240914831</v>
      </c>
      <c r="C227">
        <f>SQRT('Inputs &amp; Outputs'!$B$4/'Inputs &amp; Outputs'!$B$5)*Calculations!$A$3*COS(SQRT('Inputs &amp; Outputs'!$B$4/'Inputs &amp; Outputs'!$B$5)*A227+Calculations!$A$7)</f>
        <v>-4.1132430595555665</v>
      </c>
      <c r="D227">
        <f>1/2*'Inputs &amp; Outputs'!$B$5*'Analytical Steps'!C227^2</f>
        <v>169.18768466982038</v>
      </c>
      <c r="E227">
        <f>1/2*'Inputs &amp; Outputs'!$B$4*'Analytical Steps'!B227^2</f>
        <v>0.81231533017966484</v>
      </c>
      <c r="F227">
        <f t="shared" si="3"/>
        <v>170.00000000000006</v>
      </c>
    </row>
    <row r="228" spans="1:6" x14ac:dyDescent="0.2">
      <c r="A228">
        <f>A227+'Inputs &amp; Outputs'!$B$6</f>
        <v>5.6799995176903764</v>
      </c>
      <c r="B228">
        <f>Calculations!$A$3*SIN(SQRT('Inputs &amp; Outputs'!$B$4/'Inputs &amp; Outputs'!$B$5)*A228+Calculations!$A$7)</f>
        <v>0.46660356312286849</v>
      </c>
      <c r="C228">
        <f>SQRT('Inputs &amp; Outputs'!$B$4/'Inputs &amp; Outputs'!$B$5)*Calculations!$A$3*COS(SQRT('Inputs &amp; Outputs'!$B$4/'Inputs &amp; Outputs'!$B$5)*A228+Calculations!$A$7)</f>
        <v>-4.1164997605636104</v>
      </c>
      <c r="D228">
        <f>1/2*'Inputs &amp; Outputs'!$B$5*'Analytical Steps'!C228^2</f>
        <v>169.4557027872026</v>
      </c>
      <c r="E228">
        <f>1/2*'Inputs &amp; Outputs'!$B$4*'Analytical Steps'!B228^2</f>
        <v>0.54429721279739185</v>
      </c>
      <c r="F228">
        <f t="shared" si="3"/>
        <v>170</v>
      </c>
    </row>
    <row r="229" spans="1:6" x14ac:dyDescent="0.2">
      <c r="A229">
        <f>A228+'Inputs &amp; Outputs'!$B$6</f>
        <v>5.7051322589190949</v>
      </c>
      <c r="B229">
        <f>Calculations!$A$3*SIN(SQRT('Inputs &amp; Outputs'!$B$4/'Inputs &amp; Outputs'!$B$5)*A229+Calculations!$A$7)</f>
        <v>0.36311052172493147</v>
      </c>
      <c r="C229">
        <f>SQRT('Inputs &amp; Outputs'!$B$4/'Inputs &amp; Outputs'!$B$5)*Calculations!$A$3*COS(SQRT('Inputs &amp; Outputs'!$B$4/'Inputs &amp; Outputs'!$B$5)*A229+Calculations!$A$7)</f>
        <v>-4.1191064185394826</v>
      </c>
      <c r="D229">
        <f>1/2*'Inputs &amp; Outputs'!$B$5*'Analytical Steps'!C229^2</f>
        <v>169.67037687253165</v>
      </c>
      <c r="E229">
        <f>1/2*'Inputs &amp; Outputs'!$B$4*'Analytical Steps'!B229^2</f>
        <v>0.3296231274683798</v>
      </c>
      <c r="F229">
        <f t="shared" si="3"/>
        <v>170.00000000000003</v>
      </c>
    </row>
    <row r="230" spans="1:6" x14ac:dyDescent="0.2">
      <c r="A230">
        <f>A229+'Inputs &amp; Outputs'!$B$6</f>
        <v>5.7302650001478135</v>
      </c>
      <c r="B230">
        <f>Calculations!$A$3*SIN(SQRT('Inputs &amp; Outputs'!$B$4/'Inputs &amp; Outputs'!$B$5)*A230+Calculations!$A$7)</f>
        <v>0.25956014096630331</v>
      </c>
      <c r="C230">
        <f>SQRT('Inputs &amp; Outputs'!$B$4/'Inputs &amp; Outputs'!$B$5)*Calculations!$A$3*COS(SQRT('Inputs &amp; Outputs'!$B$4/'Inputs &amp; Outputs'!$B$5)*A230+Calculations!$A$7)</f>
        <v>-4.1210626218616708</v>
      </c>
      <c r="D230">
        <f>1/2*'Inputs &amp; Outputs'!$B$5*'Analytical Steps'!C230^2</f>
        <v>169.83157133305389</v>
      </c>
      <c r="E230">
        <f>1/2*'Inputs &amp; Outputs'!$B$4*'Analytical Steps'!B230^2</f>
        <v>0.16842866694611811</v>
      </c>
      <c r="F230">
        <f t="shared" si="3"/>
        <v>170</v>
      </c>
    </row>
    <row r="231" spans="1:6" x14ac:dyDescent="0.2">
      <c r="A231">
        <f>A230+'Inputs &amp; Outputs'!$B$6</f>
        <v>5.755397741376532</v>
      </c>
      <c r="B231">
        <f>Calculations!$A$3*SIN(SQRT('Inputs &amp; Outputs'!$B$4/'Inputs &amp; Outputs'!$B$5)*A231+Calculations!$A$7)</f>
        <v>0.1559687726525</v>
      </c>
      <c r="C231">
        <f>SQRT('Inputs &amp; Outputs'!$B$4/'Inputs &amp; Outputs'!$B$5)*Calculations!$A$3*COS(SQRT('Inputs &amp; Outputs'!$B$4/'Inputs &amp; Outputs'!$B$5)*A231+Calculations!$A$7)</f>
        <v>-4.1223680616229936</v>
      </c>
      <c r="D231">
        <f>1/2*'Inputs &amp; Outputs'!$B$5*'Analytical Steps'!C231^2</f>
        <v>169.93918435489317</v>
      </c>
      <c r="E231">
        <f>1/2*'Inputs &amp; Outputs'!$B$4*'Analytical Steps'!B231^2</f>
        <v>6.0815645106818084E-2</v>
      </c>
      <c r="F231">
        <f t="shared" si="3"/>
        <v>170</v>
      </c>
    </row>
    <row r="232" spans="1:6" x14ac:dyDescent="0.2">
      <c r="A232">
        <f>A231+'Inputs &amp; Outputs'!$B$6</f>
        <v>5.7805304826052506</v>
      </c>
      <c r="B232">
        <f>Calculations!$A$3*SIN(SQRT('Inputs &amp; Outputs'!$B$4/'Inputs &amp; Outputs'!$B$5)*A232+Calculations!$A$7)</f>
        <v>5.2352775061447497E-2</v>
      </c>
      <c r="C232">
        <f>SQRT('Inputs &amp; Outputs'!$B$4/'Inputs &amp; Outputs'!$B$5)*Calculations!$A$3*COS(SQRT('Inputs &amp; Outputs'!$B$4/'Inputs &amp; Outputs'!$B$5)*A232+Calculations!$A$7)</f>
        <v>-4.1230225316793794</v>
      </c>
      <c r="D232">
        <f>1/2*'Inputs &amp; Outputs'!$B$5*'Analytical Steps'!C232^2</f>
        <v>169.99314796735837</v>
      </c>
      <c r="E232">
        <f>1/2*'Inputs &amp; Outputs'!$B$4*'Analytical Steps'!B232^2</f>
        <v>6.8520326415862972E-3</v>
      </c>
      <c r="F232">
        <f t="shared" si="3"/>
        <v>169.99999999999994</v>
      </c>
    </row>
    <row r="233" spans="1:6" x14ac:dyDescent="0.2">
      <c r="A233">
        <f>A232+'Inputs &amp; Outputs'!$B$6</f>
        <v>5.8056632238339692</v>
      </c>
      <c r="B233">
        <f>Calculations!$A$3*SIN(SQRT('Inputs &amp; Outputs'!$B$4/'Inputs &amp; Outputs'!$B$5)*A233+Calculations!$A$7)</f>
        <v>-5.127148963967984E-2</v>
      </c>
      <c r="C233">
        <f>SQRT('Inputs &amp; Outputs'!$B$4/'Inputs &amp; Outputs'!$B$5)*Calculations!$A$3*COS(SQRT('Inputs &amp; Outputs'!$B$4/'Inputs &amp; Outputs'!$B$5)*A233+Calculations!$A$7)</f>
        <v>-4.12302592868242</v>
      </c>
      <c r="D233">
        <f>1/2*'Inputs &amp; Outputs'!$B$5*'Analytical Steps'!C233^2</f>
        <v>169.99342808587531</v>
      </c>
      <c r="E233">
        <f>1/2*'Inputs &amp; Outputs'!$B$4*'Analytical Steps'!B233^2</f>
        <v>6.5719141246794932E-3</v>
      </c>
      <c r="F233">
        <f t="shared" si="3"/>
        <v>170</v>
      </c>
    </row>
    <row r="234" spans="1:6" x14ac:dyDescent="0.2">
      <c r="A234">
        <f>A233+'Inputs &amp; Outputs'!$B$6</f>
        <v>5.8307959650626877</v>
      </c>
      <c r="B234">
        <f>Calculations!$A$3*SIN(SQRT('Inputs &amp; Outputs'!$B$4/'Inputs &amp; Outputs'!$B$5)*A234+Calculations!$A$7)</f>
        <v>-0.15488765797823512</v>
      </c>
      <c r="C234">
        <f>SQRT('Inputs &amp; Outputs'!$B$4/'Inputs &amp; Outputs'!$B$5)*Calculations!$A$3*COS(SQRT('Inputs &amp; Outputs'!$B$4/'Inputs &amp; Outputs'!$B$5)*A234+Calculations!$A$7)</f>
        <v>-4.1223782520956886</v>
      </c>
      <c r="D234">
        <f>1/2*'Inputs &amp; Outputs'!$B$5*'Analytical Steps'!C234^2</f>
        <v>169.94002453351504</v>
      </c>
      <c r="E234">
        <f>1/2*'Inputs &amp; Outputs'!$B$4*'Analytical Steps'!B234^2</f>
        <v>5.9975466484956858E-2</v>
      </c>
      <c r="F234">
        <f t="shared" si="3"/>
        <v>170</v>
      </c>
    </row>
    <row r="235" spans="1:6" x14ac:dyDescent="0.2">
      <c r="A235">
        <f>A234+'Inputs &amp; Outputs'!$B$6</f>
        <v>5.8559287062914063</v>
      </c>
      <c r="B235">
        <f>Calculations!$A$3*SIN(SQRT('Inputs &amp; Outputs'!$B$4/'Inputs &amp; Outputs'!$B$5)*A235+Calculations!$A$7)</f>
        <v>-0.25847936776008096</v>
      </c>
      <c r="C235">
        <f>SQRT('Inputs &amp; Outputs'!$B$4/'Inputs &amp; Outputs'!$B$5)*Calculations!$A$3*COS(SQRT('Inputs &amp; Outputs'!$B$4/'Inputs &amp; Outputs'!$B$5)*A235+Calculations!$A$7)</f>
        <v>-4.1210796041948266</v>
      </c>
      <c r="D235">
        <f>1/2*'Inputs &amp; Outputs'!$B$5*'Analytical Steps'!C235^2</f>
        <v>169.83297104110588</v>
      </c>
      <c r="E235">
        <f>1/2*'Inputs &amp; Outputs'!$B$4*'Analytical Steps'!B235^2</f>
        <v>0.16702895889412794</v>
      </c>
      <c r="F235">
        <f t="shared" si="3"/>
        <v>170</v>
      </c>
    </row>
    <row r="236" spans="1:6" x14ac:dyDescent="0.2">
      <c r="A236">
        <f>A235+'Inputs &amp; Outputs'!$B$6</f>
        <v>5.8810614475201248</v>
      </c>
      <c r="B236">
        <f>Calculations!$A$3*SIN(SQRT('Inputs &amp; Outputs'!$B$4/'Inputs &amp; Outputs'!$B$5)*A236+Calculations!$A$7)</f>
        <v>-0.36203026065336957</v>
      </c>
      <c r="C236">
        <f>SQRT('Inputs &amp; Outputs'!$B$4/'Inputs &amp; Outputs'!$B$5)*Calculations!$A$3*COS(SQRT('Inputs &amp; Outputs'!$B$4/'Inputs &amp; Outputs'!$B$5)*A236+Calculations!$A$7)</f>
        <v>-4.1191301900513917</v>
      </c>
      <c r="D236">
        <f>1/2*'Inputs &amp; Outputs'!$B$5*'Analytical Steps'!C236^2</f>
        <v>169.67233522592812</v>
      </c>
      <c r="E236">
        <f>1/2*'Inputs &amp; Outputs'!$B$4*'Analytical Steps'!B236^2</f>
        <v>0.32766477407186678</v>
      </c>
      <c r="F236">
        <f t="shared" si="3"/>
        <v>170</v>
      </c>
    </row>
    <row r="237" spans="1:6" x14ac:dyDescent="0.2">
      <c r="A237">
        <f>A236+'Inputs &amp; Outputs'!$B$6</f>
        <v>5.9061941887488434</v>
      </c>
      <c r="B237">
        <f>Calculations!$A$3*SIN(SQRT('Inputs &amp; Outputs'!$B$4/'Inputs &amp; Outputs'!$B$5)*A237+Calculations!$A$7)</f>
        <v>-0.46552398477171308</v>
      </c>
      <c r="C237">
        <f>SQRT('Inputs &amp; Outputs'!$B$4/'Inputs &amp; Outputs'!$B$5)*Calculations!$A$3*COS(SQRT('Inputs &amp; Outputs'!$B$4/'Inputs &amp; Outputs'!$B$5)*A237+Calculations!$A$7)</f>
        <v>-4.1165303175004757</v>
      </c>
      <c r="D237">
        <f>1/2*'Inputs &amp; Outputs'!$B$5*'Analytical Steps'!C237^2</f>
        <v>169.45821854900569</v>
      </c>
      <c r="E237">
        <f>1/2*'Inputs &amp; Outputs'!$B$4*'Analytical Steps'!B237^2</f>
        <v>0.54178145099433539</v>
      </c>
      <c r="F237">
        <f t="shared" si="3"/>
        <v>170.00000000000003</v>
      </c>
    </row>
    <row r="238" spans="1:6" x14ac:dyDescent="0.2">
      <c r="A238">
        <f>A237+'Inputs &amp; Outputs'!$B$6</f>
        <v>5.9313269299775619</v>
      </c>
      <c r="B238">
        <f>Calculations!$A$3*SIN(SQRT('Inputs &amp; Outputs'!$B$4/'Inputs &amp; Outputs'!$B$5)*A238+Calculations!$A$7)</f>
        <v>-0.56894419725633583</v>
      </c>
      <c r="C238">
        <f>SQRT('Inputs &amp; Outputs'!$B$4/'Inputs &amp; Outputs'!$B$5)*Calculations!$A$3*COS(SQRT('Inputs &amp; Outputs'!$B$4/'Inputs &amp; Outputs'!$B$5)*A238+Calculations!$A$7)</f>
        <v>-4.113280397092093</v>
      </c>
      <c r="D238">
        <f>1/2*'Inputs &amp; Outputs'!$B$5*'Analytical Steps'!C238^2</f>
        <v>169.19075625102084</v>
      </c>
      <c r="E238">
        <f>1/2*'Inputs &amp; Outputs'!$B$4*'Analytical Steps'!B238^2</f>
        <v>0.80924374897914098</v>
      </c>
      <c r="F238">
        <f t="shared" si="3"/>
        <v>169.99999999999997</v>
      </c>
    </row>
    <row r="239" spans="1:6" x14ac:dyDescent="0.2">
      <c r="A239">
        <f>A238+'Inputs &amp; Outputs'!$B$6</f>
        <v>5.9564596712062805</v>
      </c>
      <c r="B239">
        <f>Calculations!$A$3*SIN(SQRT('Inputs &amp; Outputs'!$B$4/'Inputs &amp; Outputs'!$B$5)*A239+Calculations!$A$7)</f>
        <v>-0.67227456685680154</v>
      </c>
      <c r="C239">
        <f>SQRT('Inputs &amp; Outputs'!$B$4/'Inputs &amp; Outputs'!$B$5)*Calculations!$A$3*COS(SQRT('Inputs &amp; Outputs'!$B$4/'Inputs &amp; Outputs'!$B$5)*A239+Calculations!$A$7)</f>
        <v>-4.1093809420263501</v>
      </c>
      <c r="D239">
        <f>1/2*'Inputs &amp; Outputs'!$B$5*'Analytical Steps'!C239^2</f>
        <v>168.87011726689371</v>
      </c>
      <c r="E239">
        <f>1/2*'Inputs &amp; Outputs'!$B$4*'Analytical Steps'!B239^2</f>
        <v>1.1298827331062502</v>
      </c>
      <c r="F239">
        <f t="shared" si="3"/>
        <v>169.99999999999997</v>
      </c>
    </row>
    <row r="240" spans="1:6" x14ac:dyDescent="0.2">
      <c r="A240">
        <f>A239+'Inputs &amp; Outputs'!$B$6</f>
        <v>5.9815924124349991</v>
      </c>
      <c r="B240">
        <f>Calculations!$A$3*SIN(SQRT('Inputs &amp; Outputs'!$B$4/'Inputs &amp; Outputs'!$B$5)*A240+Calculations!$A$7)</f>
        <v>-0.77549877650990662</v>
      </c>
      <c r="C240">
        <f>SQRT('Inputs &amp; Outputs'!$B$4/'Inputs &amp; Outputs'!$B$5)*Calculations!$A$3*COS(SQRT('Inputs &amp; Outputs'!$B$4/'Inputs &amp; Outputs'!$B$5)*A240+Calculations!$A$7)</f>
        <v>-4.1048325680724069</v>
      </c>
      <c r="D240">
        <f>1/2*'Inputs &amp; Outputs'!$B$5*'Analytical Steps'!C240^2</f>
        <v>168.49650411907913</v>
      </c>
      <c r="E240">
        <f>1/2*'Inputs &amp; Outputs'!$B$4*'Analytical Steps'!B240^2</f>
        <v>1.5034958809209054</v>
      </c>
      <c r="F240">
        <f t="shared" si="3"/>
        <v>170.00000000000003</v>
      </c>
    </row>
    <row r="241" spans="1:6" x14ac:dyDescent="0.2">
      <c r="A241">
        <f>A240+'Inputs &amp; Outputs'!$B$6</f>
        <v>6.0067251536637176</v>
      </c>
      <c r="B241">
        <f>Calculations!$A$3*SIN(SQRT('Inputs &amp; Outputs'!$B$4/'Inputs &amp; Outputs'!$B$5)*A241+Calculations!$A$7)</f>
        <v>-0.87860052591633364</v>
      </c>
      <c r="C241">
        <f>SQRT('Inputs &amp; Outputs'!$B$4/'Inputs &amp; Outputs'!$B$5)*Calculations!$A$3*COS(SQRT('Inputs &amp; Outputs'!$B$4/'Inputs &amp; Outputs'!$B$5)*A241+Calculations!$A$7)</f>
        <v>-4.0996359934712352</v>
      </c>
      <c r="D241">
        <f>1/2*'Inputs &amp; Outputs'!$B$5*'Analytical Steps'!C241^2</f>
        <v>168.07015278964883</v>
      </c>
      <c r="E241">
        <f>1/2*'Inputs &amp; Outputs'!$B$4*'Analytical Steps'!B241^2</f>
        <v>1.9298472103511453</v>
      </c>
      <c r="F241">
        <f t="shared" si="3"/>
        <v>169.99999999999997</v>
      </c>
    </row>
    <row r="242" spans="1:6" x14ac:dyDescent="0.2">
      <c r="A242">
        <f>A241+'Inputs &amp; Outputs'!$B$6</f>
        <v>6.0318578948924362</v>
      </c>
      <c r="B242">
        <f>Calculations!$A$3*SIN(SQRT('Inputs &amp; Outputs'!$B$4/'Inputs &amp; Outputs'!$B$5)*A242+Calculations!$A$7)</f>
        <v>-0.98156353411465813</v>
      </c>
      <c r="C242">
        <f>SQRT('Inputs &amp; Outputs'!$B$4/'Inputs &amp; Outputs'!$B$5)*Calculations!$A$3*COS(SQRT('Inputs &amp; Outputs'!$B$4/'Inputs &amp; Outputs'!$B$5)*A242+Calculations!$A$7)</f>
        <v>-4.0937920388222073</v>
      </c>
      <c r="D242">
        <f>1/2*'Inputs &amp; Outputs'!$B$5*'Analytical Steps'!C242^2</f>
        <v>167.59133257124086</v>
      </c>
      <c r="E242">
        <f>1/2*'Inputs &amp; Outputs'!$B$4*'Analytical Steps'!B242^2</f>
        <v>2.4086674287591441</v>
      </c>
      <c r="F242">
        <f t="shared" si="3"/>
        <v>170</v>
      </c>
    </row>
    <row r="243" spans="1:6" x14ac:dyDescent="0.2">
      <c r="A243">
        <f>A242+'Inputs &amp; Outputs'!$B$6</f>
        <v>6.0569906361211547</v>
      </c>
      <c r="B243">
        <f>Calculations!$A$3*SIN(SQRT('Inputs &amp; Outputs'!$B$4/'Inputs &amp; Outputs'!$B$5)*A243+Calculations!$A$7)</f>
        <v>-1.0843715420523004</v>
      </c>
      <c r="C243">
        <f>SQRT('Inputs &amp; Outputs'!$B$4/'Inputs &amp; Outputs'!$B$5)*Calculations!$A$3*COS(SQRT('Inputs &amp; Outputs'!$B$4/'Inputs &amp; Outputs'!$B$5)*A243+Calculations!$A$7)</f>
        <v>-4.0873016269535061</v>
      </c>
      <c r="D243">
        <f>1/2*'Inputs &amp; Outputs'!$B$5*'Analytical Steps'!C243^2</f>
        <v>167.06034589696776</v>
      </c>
      <c r="E243">
        <f>1/2*'Inputs &amp; Outputs'!$B$4*'Analytical Steps'!B243^2</f>
        <v>2.9396541030322094</v>
      </c>
      <c r="F243">
        <f t="shared" si="3"/>
        <v>169.99999999999997</v>
      </c>
    </row>
    <row r="244" spans="1:6" x14ac:dyDescent="0.2">
      <c r="A244">
        <f>A243+'Inputs &amp; Outputs'!$B$6</f>
        <v>6.0821233773498733</v>
      </c>
      <c r="B244">
        <f>Calculations!$A$3*SIN(SQRT('Inputs &amp; Outputs'!$B$4/'Inputs &amp; Outputs'!$B$5)*A244+Calculations!$A$7)</f>
        <v>-1.1870083151530189</v>
      </c>
      <c r="C244">
        <f>SQRT('Inputs &amp; Outputs'!$B$4/'Inputs &amp; Outputs'!$B$5)*Calculations!$A$3*COS(SQRT('Inputs &amp; Outputs'!$B$4/'Inputs &amp; Outputs'!$B$5)*A244+Calculations!$A$7)</f>
        <v>-4.0801657827764055</v>
      </c>
      <c r="D244">
        <f>1/2*'Inputs &amp; Outputs'!$B$5*'Analytical Steps'!C244^2</f>
        <v>166.47752814939398</v>
      </c>
      <c r="E244">
        <f>1/2*'Inputs &amp; Outputs'!$B$4*'Analytical Steps'!B244^2</f>
        <v>3.5224718506060215</v>
      </c>
      <c r="F244">
        <f t="shared" si="3"/>
        <v>170</v>
      </c>
    </row>
    <row r="245" spans="1:6" x14ac:dyDescent="0.2">
      <c r="A245">
        <f>A244+'Inputs &amp; Outputs'!$B$6</f>
        <v>6.1072561185785919</v>
      </c>
      <c r="B245">
        <f>Calculations!$A$3*SIN(SQRT('Inputs &amp; Outputs'!$B$4/'Inputs &amp; Outputs'!$B$5)*A245+Calculations!$A$7)</f>
        <v>-1.2894576458805378</v>
      </c>
      <c r="C245">
        <f>SQRT('Inputs &amp; Outputs'!$B$4/'Inputs &amp; Outputs'!$B$5)*Calculations!$A$3*COS(SQRT('Inputs &amp; Outputs'!$B$4/'Inputs &amp; Outputs'!$B$5)*A245+Calculations!$A$7)</f>
        <v>-4.0723856331234218</v>
      </c>
      <c r="D245">
        <f>1/2*'Inputs &amp; Outputs'!$B$5*'Analytical Steps'!C245^2</f>
        <v>165.84324744870054</v>
      </c>
      <c r="E245">
        <f>1/2*'Inputs &amp; Outputs'!$B$4*'Analytical Steps'!B245^2</f>
        <v>4.1567525512994461</v>
      </c>
      <c r="F245">
        <f t="shared" si="3"/>
        <v>169.99999999999997</v>
      </c>
    </row>
    <row r="246" spans="1:6" x14ac:dyDescent="0.2">
      <c r="A246">
        <f>A245+'Inputs &amp; Outputs'!$B$6</f>
        <v>6.1323888598073104</v>
      </c>
      <c r="B246">
        <f>Calculations!$A$3*SIN(SQRT('Inputs &amp; Outputs'!$B$4/'Inputs &amp; Outputs'!$B$5)*A246+Calculations!$A$7)</f>
        <v>-1.3917033562979051</v>
      </c>
      <c r="C246">
        <f>SQRT('Inputs &amp; Outputs'!$B$4/'Inputs &amp; Outputs'!$B$5)*Calculations!$A$3*COS(SQRT('Inputs &amp; Outputs'!$B$4/'Inputs &amp; Outputs'!$B$5)*A246+Calculations!$A$7)</f>
        <v>-4.0639624065703766</v>
      </c>
      <c r="D246">
        <f>1/2*'Inputs &amp; Outputs'!$B$5*'Analytical Steps'!C246^2</f>
        <v>165.15790442017288</v>
      </c>
      <c r="E246">
        <f>1/2*'Inputs &amp; Outputs'!$B$4*'Analytical Steps'!B246^2</f>
        <v>4.8420955798271343</v>
      </c>
      <c r="F246">
        <f t="shared" si="3"/>
        <v>170.00000000000003</v>
      </c>
    </row>
    <row r="247" spans="1:6" x14ac:dyDescent="0.2">
      <c r="A247">
        <f>A246+'Inputs &amp; Outputs'!$B$6</f>
        <v>6.157521601036029</v>
      </c>
      <c r="B247">
        <f>Calculations!$A$3*SIN(SQRT('Inputs &amp; Outputs'!$B$4/'Inputs &amp; Outputs'!$B$5)*A247+Calculations!$A$7)</f>
        <v>-1.4937293006221755</v>
      </c>
      <c r="C247">
        <f>SQRT('Inputs &amp; Outputs'!$B$4/'Inputs &amp; Outputs'!$B$5)*Calculations!$A$3*COS(SQRT('Inputs &amp; Outputs'!$B$4/'Inputs &amp; Outputs'!$B$5)*A247+Calculations!$A$7)</f>
        <v>-4.0548974332423864</v>
      </c>
      <c r="D247">
        <f>1/2*'Inputs &amp; Outputs'!$B$5*'Analytical Steps'!C247^2</f>
        <v>164.42193194115691</v>
      </c>
      <c r="E247">
        <f>1/2*'Inputs &amp; Outputs'!$B$4*'Analytical Steps'!B247^2</f>
        <v>5.5780680588430336</v>
      </c>
      <c r="F247">
        <f t="shared" si="3"/>
        <v>169.99999999999994</v>
      </c>
    </row>
    <row r="248" spans="1:6" x14ac:dyDescent="0.2">
      <c r="A248">
        <f>A247+'Inputs &amp; Outputs'!$B$6</f>
        <v>6.1826543422647475</v>
      </c>
      <c r="B248">
        <f>Calculations!$A$3*SIN(SQRT('Inputs &amp; Outputs'!$B$4/'Inputs &amp; Outputs'!$B$5)*A248+Calculations!$A$7)</f>
        <v>-1.5955193677740183</v>
      </c>
      <c r="C248">
        <f>SQRT('Inputs &amp; Outputs'!$B$4/'Inputs &amp; Outputs'!$B$5)*Calculations!$A$3*COS(SQRT('Inputs &amp; Outputs'!$B$4/'Inputs &amp; Outputs'!$B$5)*A248+Calculations!$A$7)</f>
        <v>-4.0451921446038259</v>
      </c>
      <c r="D248">
        <f>1/2*'Inputs &amp; Outputs'!$B$5*'Analytical Steps'!C248^2</f>
        <v>163.63579486764502</v>
      </c>
      <c r="E248">
        <f>1/2*'Inputs &amp; Outputs'!$B$4*'Analytical Steps'!B248^2</f>
        <v>6.3642051323550071</v>
      </c>
      <c r="F248">
        <f t="shared" si="3"/>
        <v>170.00000000000003</v>
      </c>
    </row>
    <row r="249" spans="1:6" x14ac:dyDescent="0.2">
      <c r="A249">
        <f>A248+'Inputs &amp; Outputs'!$B$6</f>
        <v>6.2077870834934661</v>
      </c>
      <c r="B249">
        <f>Calculations!$A$3*SIN(SQRT('Inputs &amp; Outputs'!$B$4/'Inputs &amp; Outputs'!$B$5)*A249+Calculations!$A$7)</f>
        <v>-1.6970574839218424</v>
      </c>
      <c r="C249">
        <f>SQRT('Inputs &amp; Outputs'!$B$4/'Inputs &amp; Outputs'!$B$5)*Calculations!$A$3*COS(SQRT('Inputs &amp; Outputs'!$B$4/'Inputs &amp; Outputs'!$B$5)*A249+Calculations!$A$7)</f>
        <v>-4.0348480732322765</v>
      </c>
      <c r="D249">
        <f>1/2*'Inputs &amp; Outputs'!$B$5*'Analytical Steps'!C249^2</f>
        <v>162.79998974066214</v>
      </c>
      <c r="E249">
        <f>1/2*'Inputs &amp; Outputs'!$B$4*'Analytical Steps'!B249^2</f>
        <v>7.2000102593378354</v>
      </c>
      <c r="F249">
        <f t="shared" si="3"/>
        <v>169.99999999999997</v>
      </c>
    </row>
    <row r="250" spans="1:6" x14ac:dyDescent="0.2">
      <c r="A250">
        <f>A249+'Inputs &amp; Outputs'!$B$6</f>
        <v>6.2329198247221846</v>
      </c>
      <c r="B250">
        <f>Calculations!$A$3*SIN(SQRT('Inputs &amp; Outputs'!$B$4/'Inputs &amp; Outputs'!$B$5)*A250+Calculations!$A$7)</f>
        <v>-1.7983276150200409</v>
      </c>
      <c r="C250">
        <f>SQRT('Inputs &amp; Outputs'!$B$4/'Inputs &amp; Outputs'!$B$5)*Calculations!$A$3*COS(SQRT('Inputs &amp; Outputs'!$B$4/'Inputs &amp; Outputs'!$B$5)*A250+Calculations!$A$7)</f>
        <v>-4.0238668525765213</v>
      </c>
      <c r="D250">
        <f>1/2*'Inputs &amp; Outputs'!$B$5*'Analytical Steps'!C250^2</f>
        <v>161.9150444726408</v>
      </c>
      <c r="E250">
        <f>1/2*'Inputs &amp; Outputs'!$B$4*'Analytical Steps'!B250^2</f>
        <v>8.0849555273591704</v>
      </c>
      <c r="F250">
        <f t="shared" si="3"/>
        <v>169.99999999999997</v>
      </c>
    </row>
    <row r="251" spans="1:6" x14ac:dyDescent="0.2">
      <c r="A251">
        <f>A250+'Inputs &amp; Outputs'!$B$6</f>
        <v>6.2580525659509032</v>
      </c>
      <c r="B251">
        <f>Calculations!$A$3*SIN(SQRT('Inputs &amp; Outputs'!$B$4/'Inputs &amp; Outputs'!$B$5)*A251+Calculations!$A$7)</f>
        <v>-1.8993137693409528</v>
      </c>
      <c r="C251">
        <f>SQRT('Inputs &amp; Outputs'!$B$4/'Inputs &amp; Outputs'!$B$5)*Calculations!$A$3*COS(SQRT('Inputs &amp; Outputs'!$B$4/'Inputs &amp; Outputs'!$B$5)*A251+Calculations!$A$7)</f>
        <v>-4.0122502166986003</v>
      </c>
      <c r="D251">
        <f>1/2*'Inputs &amp; Outputs'!$B$5*'Analytical Steps'!C251^2</f>
        <v>160.98151801397964</v>
      </c>
      <c r="E251">
        <f>1/2*'Inputs &amp; Outputs'!$B$4*'Analytical Steps'!B251^2</f>
        <v>9.018481986020344</v>
      </c>
      <c r="F251">
        <f t="shared" si="3"/>
        <v>169.99999999999997</v>
      </c>
    </row>
    <row r="252" spans="1:6" x14ac:dyDescent="0.2">
      <c r="A252">
        <f>A251+'Inputs &amp; Outputs'!$B$6</f>
        <v>6.2831853071796218</v>
      </c>
      <c r="B252">
        <f>Calculations!$A$3*SIN(SQRT('Inputs &amp; Outputs'!$B$4/'Inputs &amp; Outputs'!$B$5)*A252+Calculations!$A$7)</f>
        <v>-2.0000000000001417</v>
      </c>
      <c r="C252">
        <f>SQRT('Inputs &amp; Outputs'!$B$4/'Inputs &amp; Outputs'!$B$5)*Calculations!$A$3*COS(SQRT('Inputs &amp; Outputs'!$B$4/'Inputs &amp; Outputs'!$B$5)*A252+Calculations!$A$7)</f>
        <v>-3.9999999999999822</v>
      </c>
      <c r="D252">
        <f>1/2*'Inputs &amp; Outputs'!$B$5*'Analytical Steps'!C252^2</f>
        <v>159.99999999999858</v>
      </c>
      <c r="E252">
        <f>1/2*'Inputs &amp; Outputs'!$B$4*'Analytical Steps'!B252^2</f>
        <v>10.000000000001418</v>
      </c>
      <c r="F252">
        <f t="shared" si="3"/>
        <v>170</v>
      </c>
    </row>
    <row r="253" spans="1:6" x14ac:dyDescent="0.2">
      <c r="A253">
        <f>A252+'Inputs &amp; Outputs'!$B$6</f>
        <v>6.3083180484083403</v>
      </c>
      <c r="B253">
        <f>Calculations!$A$3*SIN(SQRT('Inputs &amp; Outputs'!$B$4/'Inputs &amp; Outputs'!$B$5)*A253+Calculations!$A$7)</f>
        <v>-2.1003704074745952</v>
      </c>
      <c r="C253">
        <f>SQRT('Inputs &amp; Outputs'!$B$4/'Inputs &amp; Outputs'!$B$5)*Calculations!$A$3*COS(SQRT('Inputs &amp; Outputs'!$B$4/'Inputs &amp; Outputs'!$B$5)*A253+Calculations!$A$7)</f>
        <v>-3.9871181369318931</v>
      </c>
      <c r="D253">
        <f>1/2*'Inputs &amp; Outputs'!$B$5*'Analytical Steps'!C253^2</f>
        <v>158.97111037851249</v>
      </c>
      <c r="E253">
        <f>1/2*'Inputs &amp; Outputs'!$B$4*'Analytical Steps'!B253^2</f>
        <v>11.028889621487492</v>
      </c>
      <c r="F253">
        <f t="shared" si="3"/>
        <v>169.99999999999997</v>
      </c>
    </row>
    <row r="254" spans="1:6" x14ac:dyDescent="0.2">
      <c r="A254">
        <f>A253+'Inputs &amp; Outputs'!$B$6</f>
        <v>6.3334507896370589</v>
      </c>
      <c r="B254">
        <f>Calculations!$A$3*SIN(SQRT('Inputs &amp; Outputs'!$B$4/'Inputs &amp; Outputs'!$B$5)*A254+Calculations!$A$7)</f>
        <v>-2.200409142113442</v>
      </c>
      <c r="C254">
        <f>SQRT('Inputs &amp; Outputs'!$B$4/'Inputs &amp; Outputs'!$B$5)*Calculations!$A$3*COS(SQRT('Inputs &amp; Outputs'!$B$4/'Inputs &amp; Outputs'!$B$5)*A254+Calculations!$A$7)</f>
        <v>-3.9736066616898427</v>
      </c>
      <c r="D254">
        <f>1/2*'Inputs &amp; Outputs'!$B$5*'Analytical Steps'!C254^2</f>
        <v>157.89549901825896</v>
      </c>
      <c r="E254">
        <f>1/2*'Inputs &amp; Outputs'!$B$4*'Analytical Steps'!B254^2</f>
        <v>12.104500981741033</v>
      </c>
      <c r="F254">
        <f t="shared" si="3"/>
        <v>170</v>
      </c>
    </row>
    <row r="255" spans="1:6" x14ac:dyDescent="0.2">
      <c r="A255">
        <f>A254+'Inputs &amp; Outputs'!$B$6</f>
        <v>6.3585835308657774</v>
      </c>
      <c r="B255">
        <f>Calculations!$A$3*SIN(SQRT('Inputs &amp; Outputs'!$B$4/'Inputs &amp; Outputs'!$B$5)*A255+Calculations!$A$7)</f>
        <v>-2.3001004066407975</v>
      </c>
      <c r="C255">
        <f>SQRT('Inputs &amp; Outputs'!$B$4/'Inputs &amp; Outputs'!$B$5)*Calculations!$A$3*COS(SQRT('Inputs &amp; Outputs'!$B$4/'Inputs &amp; Outputs'!$B$5)*A255+Calculations!$A$7)</f>
        <v>-3.9594677078924017</v>
      </c>
      <c r="D255">
        <f>1/2*'Inputs &amp; Outputs'!$B$5*'Analytical Steps'!C255^2</f>
        <v>156.77384529842709</v>
      </c>
      <c r="E255">
        <f>1/2*'Inputs &amp; Outputs'!$B$4*'Analytical Steps'!B255^2</f>
        <v>13.226154701572906</v>
      </c>
      <c r="F255">
        <f t="shared" si="3"/>
        <v>170</v>
      </c>
    </row>
    <row r="256" spans="1:6" x14ac:dyDescent="0.2">
      <c r="A256">
        <f>A255+'Inputs &amp; Outputs'!$B$6</f>
        <v>6.383716272094496</v>
      </c>
      <c r="B256">
        <f>Calculations!$A$3*SIN(SQRT('Inputs &amp; Outputs'!$B$4/'Inputs &amp; Outputs'!$B$5)*A256+Calculations!$A$7)</f>
        <v>-2.3994284586503345</v>
      </c>
      <c r="C256">
        <f>SQRT('Inputs &amp; Outputs'!$B$4/'Inputs &amp; Outputs'!$B$5)*Calculations!$A$3*COS(SQRT('Inputs &amp; Outputs'!$B$4/'Inputs &amp; Outputs'!$B$5)*A256+Calculations!$A$7)</f>
        <v>-3.9447035082442787</v>
      </c>
      <c r="D256">
        <f>1/2*'Inputs &amp; Outputs'!$B$5*'Analytical Steps'!C256^2</f>
        <v>155.6068576795472</v>
      </c>
      <c r="E256">
        <f>1/2*'Inputs &amp; Outputs'!$B$4*'Analytical Steps'!B256^2</f>
        <v>14.393142320452801</v>
      </c>
      <c r="F256">
        <f t="shared" si="3"/>
        <v>170</v>
      </c>
    </row>
    <row r="257" spans="1:6" x14ac:dyDescent="0.2">
      <c r="A257">
        <f>A256+'Inputs &amp; Outputs'!$B$6</f>
        <v>6.4088490133232145</v>
      </c>
      <c r="B257">
        <f>Calculations!$A$3*SIN(SQRT('Inputs &amp; Outputs'!$B$4/'Inputs &amp; Outputs'!$B$5)*A257+Calculations!$A$7)</f>
        <v>-2.4983776130911934</v>
      </c>
      <c r="C257">
        <f>SQRT('Inputs &amp; Outputs'!$B$4/'Inputs &amp; Outputs'!$B$5)*Calculations!$A$3*COS(SQRT('Inputs &amp; Outputs'!$B$4/'Inputs &amp; Outputs'!$B$5)*A257+Calculations!$A$7)</f>
        <v>-3.9293163941837501</v>
      </c>
      <c r="D257">
        <f>1/2*'Inputs &amp; Outputs'!$B$5*'Analytical Steps'!C257^2</f>
        <v>154.39527325601188</v>
      </c>
      <c r="E257">
        <f>1/2*'Inputs &amp; Outputs'!$B$4*'Analytical Steps'!B257^2</f>
        <v>15.604726743988122</v>
      </c>
      <c r="F257">
        <f t="shared" si="3"/>
        <v>170</v>
      </c>
    </row>
    <row r="258" spans="1:6" x14ac:dyDescent="0.2">
      <c r="A258">
        <f>A257+'Inputs &amp; Outputs'!$B$6</f>
        <v>6.4339817545519331</v>
      </c>
      <c r="B258">
        <f>Calculations!$A$3*SIN(SQRT('Inputs &amp; Outputs'!$B$4/'Inputs &amp; Outputs'!$B$5)*A258+Calculations!$A$7)</f>
        <v>-2.5969322447448331</v>
      </c>
      <c r="C258">
        <f>SQRT('Inputs &amp; Outputs'!$B$4/'Inputs &amp; Outputs'!$B$5)*Calculations!$A$3*COS(SQRT('Inputs &amp; Outputs'!$B$4/'Inputs &amp; Outputs'!$B$5)*A258+Calculations!$A$7)</f>
        <v>-3.9133087955144994</v>
      </c>
      <c r="D258">
        <f>1/2*'Inputs &amp; Outputs'!$B$5*'Analytical Steps'!C258^2</f>
        <v>153.13985729051143</v>
      </c>
      <c r="E258">
        <f>1/2*'Inputs &amp; Outputs'!$B$4*'Analytical Steps'!B258^2</f>
        <v>16.860142709488596</v>
      </c>
      <c r="F258">
        <f t="shared" si="3"/>
        <v>170.00000000000003</v>
      </c>
    </row>
    <row r="259" spans="1:6" x14ac:dyDescent="0.2">
      <c r="A259">
        <f>A258+'Inputs &amp; Outputs'!$B$6</f>
        <v>6.4591144957806517</v>
      </c>
      <c r="B259">
        <f>Calculations!$A$3*SIN(SQRT('Inputs &amp; Outputs'!$B$4/'Inputs &amp; Outputs'!$B$5)*A259+Calculations!$A$7)</f>
        <v>-2.6950767906924344</v>
      </c>
      <c r="C259">
        <f>SQRT('Inputs &amp; Outputs'!$B$4/'Inputs &amp; Outputs'!$B$5)*Calculations!$A$3*COS(SQRT('Inputs &amp; Outputs'!$B$4/'Inputs &amp; Outputs'!$B$5)*A259+Calculations!$A$7)</f>
        <v>-3.8966832400219218</v>
      </c>
      <c r="D259">
        <f>1/2*'Inputs &amp; Outputs'!$B$5*'Analytical Steps'!C259^2</f>
        <v>151.84140273067743</v>
      </c>
      <c r="E259">
        <f>1/2*'Inputs &amp; Outputs'!$B$4*'Analytical Steps'!B259^2</f>
        <v>18.158597269322581</v>
      </c>
      <c r="F259">
        <f t="shared" ref="F259:F322" si="4">SUM(D259:E259)</f>
        <v>170</v>
      </c>
    </row>
    <row r="260" spans="1:6" x14ac:dyDescent="0.2">
      <c r="A260">
        <f>A259+'Inputs &amp; Outputs'!$B$6</f>
        <v>6.4842472370093702</v>
      </c>
      <c r="B260">
        <f>Calculations!$A$3*SIN(SQRT('Inputs &amp; Outputs'!$B$4/'Inputs &amp; Outputs'!$B$5)*A260+Calculations!$A$7)</f>
        <v>-2.7927957527724634</v>
      </c>
      <c r="C260">
        <f>SQRT('Inputs &amp; Outputs'!$B$4/'Inputs &amp; Outputs'!$B$5)*Calculations!$A$3*COS(SQRT('Inputs &amp; Outputs'!$B$4/'Inputs &amp; Outputs'!$B$5)*A260+Calculations!$A$7)</f>
        <v>-3.8794423530739599</v>
      </c>
      <c r="D260">
        <f>1/2*'Inputs &amp; Outputs'!$B$5*'Analytical Steps'!C260^2</f>
        <v>150.50072970824021</v>
      </c>
      <c r="E260">
        <f>1/2*'Inputs &amp; Outputs'!$B$4*'Analytical Steps'!B260^2</f>
        <v>19.499270291759775</v>
      </c>
      <c r="F260">
        <f t="shared" si="4"/>
        <v>170</v>
      </c>
    </row>
    <row r="261" spans="1:6" x14ac:dyDescent="0.2">
      <c r="A261">
        <f>A260+'Inputs &amp; Outputs'!$B$6</f>
        <v>6.5093799782380888</v>
      </c>
      <c r="B261">
        <f>Calculations!$A$3*SIN(SQRT('Inputs &amp; Outputs'!$B$4/'Inputs &amp; Outputs'!$B$5)*A261+Calculations!$A$7)</f>
        <v>-2.8900737000280143</v>
      </c>
      <c r="C261">
        <f>SQRT('Inputs &amp; Outputs'!$B$4/'Inputs &amp; Outputs'!$B$5)*Calculations!$A$3*COS(SQRT('Inputs &amp; Outputs'!$B$4/'Inputs &amp; Outputs'!$B$5)*A261+Calculations!$A$7)</f>
        <v>-3.8615888572065247</v>
      </c>
      <c r="D261">
        <f>1/2*'Inputs &amp; Outputs'!$B$5*'Analytical Steps'!C261^2</f>
        <v>149.11868502101592</v>
      </c>
      <c r="E261">
        <f>1/2*'Inputs &amp; Outputs'!$B$4*'Analytical Steps'!B261^2</f>
        <v>20.881314978984044</v>
      </c>
      <c r="F261">
        <f t="shared" si="4"/>
        <v>169.99999999999997</v>
      </c>
    </row>
    <row r="262" spans="1:6" x14ac:dyDescent="0.2">
      <c r="A262">
        <f>A261+'Inputs &amp; Outputs'!$B$6</f>
        <v>6.5345127194668073</v>
      </c>
      <c r="B262">
        <f>Calculations!$A$3*SIN(SQRT('Inputs &amp; Outputs'!$B$4/'Inputs &amp; Outputs'!$B$5)*A262+Calculations!$A$7)</f>
        <v>-2.9868952711435339</v>
      </c>
      <c r="C262">
        <f>SQRT('Inputs &amp; Outputs'!$B$4/'Inputs &amp; Outputs'!$B$5)*Calculations!$A$3*COS(SQRT('Inputs &amp; Outputs'!$B$4/'Inputs &amp; Outputs'!$B$5)*A262+Calculations!$A$7)</f>
        <v>-3.8431255716935793</v>
      </c>
      <c r="D262">
        <f>1/2*'Inputs &amp; Outputs'!$B$5*'Analytical Steps'!C262^2</f>
        <v>147.69614159805099</v>
      </c>
      <c r="E262">
        <f>1/2*'Inputs &amp; Outputs'!$B$4*'Analytical Steps'!B262^2</f>
        <v>22.303858401949014</v>
      </c>
      <c r="F262">
        <f t="shared" si="4"/>
        <v>170</v>
      </c>
    </row>
    <row r="263" spans="1:6" x14ac:dyDescent="0.2">
      <c r="A263">
        <f>A262+'Inputs &amp; Outputs'!$B$6</f>
        <v>6.5596454606955259</v>
      </c>
      <c r="B263">
        <f>Calculations!$A$3*SIN(SQRT('Inputs &amp; Outputs'!$B$4/'Inputs &amp; Outputs'!$B$5)*A263+Calculations!$A$7)</f>
        <v>-3.0832451768705518</v>
      </c>
      <c r="C263">
        <f>SQRT('Inputs &amp; Outputs'!$B$4/'Inputs &amp; Outputs'!$B$5)*Calculations!$A$3*COS(SQRT('Inputs &amp; Outputs'!$B$4/'Inputs &amp; Outputs'!$B$5)*A263+Calculations!$A$7)</f>
        <v>-3.8240554121019379</v>
      </c>
      <c r="D263">
        <f>1/2*'Inputs &amp; Outputs'!$B$5*'Analytical Steps'!C263^2</f>
        <v>146.23399794826122</v>
      </c>
      <c r="E263">
        <f>1/2*'Inputs &amp; Outputs'!$B$4*'Analytical Steps'!B263^2</f>
        <v>23.766002051738798</v>
      </c>
      <c r="F263">
        <f t="shared" si="4"/>
        <v>170.00000000000003</v>
      </c>
    </row>
    <row r="264" spans="1:6" x14ac:dyDescent="0.2">
      <c r="A264">
        <f>A263+'Inputs &amp; Outputs'!$B$6</f>
        <v>6.5847782019242445</v>
      </c>
      <c r="B264">
        <f>Calculations!$A$3*SIN(SQRT('Inputs &amp; Outputs'!$B$4/'Inputs &amp; Outputs'!$B$5)*A264+Calculations!$A$7)</f>
        <v>-3.1791082024420287</v>
      </c>
      <c r="C264">
        <f>SQRT('Inputs &amp; Outputs'!$B$4/'Inputs &amp; Outputs'!$B$5)*Calculations!$A$3*COS(SQRT('Inputs &amp; Outputs'!$B$4/'Inputs &amp; Outputs'!$B$5)*A264+Calculations!$A$7)</f>
        <v>-3.8043813898308692</v>
      </c>
      <c r="D264">
        <f>1/2*'Inputs &amp; Outputs'!$B$5*'Analytical Steps'!C264^2</f>
        <v>144.73317759291456</v>
      </c>
      <c r="E264">
        <f>1/2*'Inputs &amp; Outputs'!$B$4*'Analytical Steps'!B264^2</f>
        <v>25.266822407085471</v>
      </c>
      <c r="F264">
        <f t="shared" si="4"/>
        <v>170.00000000000003</v>
      </c>
    </row>
    <row r="265" spans="1:6" x14ac:dyDescent="0.2">
      <c r="A265">
        <f>A264+'Inputs &amp; Outputs'!$B$6</f>
        <v>6.609910943152963</v>
      </c>
      <c r="B265">
        <f>Calculations!$A$3*SIN(SQRT('Inputs &amp; Outputs'!$B$4/'Inputs &amp; Outputs'!$B$5)*A265+Calculations!$A$7)</f>
        <v>-3.2744692099749493</v>
      </c>
      <c r="C265">
        <f>SQRT('Inputs &amp; Outputs'!$B$4/'Inputs &amp; Outputs'!$B$5)*Calculations!$A$3*COS(SQRT('Inputs &amp; Outputs'!$B$4/'Inputs &amp; Outputs'!$B$5)*A265+Calculations!$A$7)</f>
        <v>-3.7841066116365574</v>
      </c>
      <c r="D265">
        <f>1/2*'Inputs &amp; Outputs'!$B$5*'Analytical Steps'!C265^2</f>
        <v>143.19462848231507</v>
      </c>
      <c r="E265">
        <f>1/2*'Inputs &amp; Outputs'!$B$4*'Analytical Steps'!B265^2</f>
        <v>26.805371517684922</v>
      </c>
      <c r="F265">
        <f t="shared" si="4"/>
        <v>170</v>
      </c>
    </row>
    <row r="266" spans="1:6" x14ac:dyDescent="0.2">
      <c r="A266">
        <f>A265+'Inputs &amp; Outputs'!$B$6</f>
        <v>6.6350436843816816</v>
      </c>
      <c r="B266">
        <f>Calculations!$A$3*SIN(SQRT('Inputs &amp; Outputs'!$B$4/'Inputs &amp; Outputs'!$B$5)*A266+Calculations!$A$7)</f>
        <v>-3.3693131408607639</v>
      </c>
      <c r="C266">
        <f>SQRT('Inputs &amp; Outputs'!$B$4/'Inputs &amp; Outputs'!$B$5)*Calculations!$A$3*COS(SQRT('Inputs &amp; Outputs'!$B$4/'Inputs &amp; Outputs'!$B$5)*A266+Calculations!$A$7)</f>
        <v>-3.7632342791415132</v>
      </c>
      <c r="D266">
        <f>1/2*'Inputs &amp; Outputs'!$B$5*'Analytical Steps'!C266^2</f>
        <v>141.61932239705746</v>
      </c>
      <c r="E266">
        <f>1/2*'Inputs &amp; Outputs'!$B$4*'Analytical Steps'!B266^2</f>
        <v>28.380677602942566</v>
      </c>
      <c r="F266">
        <f t="shared" si="4"/>
        <v>170.00000000000003</v>
      </c>
    </row>
    <row r="267" spans="1:6" x14ac:dyDescent="0.2">
      <c r="A267">
        <f>A266+'Inputs &amp; Outputs'!$B$6</f>
        <v>6.6601764256104001</v>
      </c>
      <c r="B267">
        <f>Calculations!$A$3*SIN(SQRT('Inputs &amp; Outputs'!$B$4/'Inputs &amp; Outputs'!$B$5)*A267+Calculations!$A$7)</f>
        <v>-3.4636250181433188</v>
      </c>
      <c r="C267">
        <f>SQRT('Inputs &amp; Outputs'!$B$4/'Inputs &amp; Outputs'!$B$5)*Calculations!$A$3*COS(SQRT('Inputs &amp; Outputs'!$B$4/'Inputs &amp; Outputs'!$B$5)*A267+Calculations!$A$7)</f>
        <v>-3.7417676883289968</v>
      </c>
      <c r="D267">
        <f>1/2*'Inputs &amp; Outputs'!$B$5*'Analytical Steps'!C267^2</f>
        <v>140.00825433422926</v>
      </c>
      <c r="E267">
        <f>1/2*'Inputs &amp; Outputs'!$B$4*'Analytical Steps'!B267^2</f>
        <v>29.991745665770765</v>
      </c>
      <c r="F267">
        <f t="shared" si="4"/>
        <v>170.00000000000003</v>
      </c>
    </row>
    <row r="268" spans="1:6" x14ac:dyDescent="0.2">
      <c r="A268">
        <f>A267+'Inputs &amp; Outputs'!$B$6</f>
        <v>6.6853091668391187</v>
      </c>
      <c r="B268">
        <f>Calculations!$A$3*SIN(SQRT('Inputs &amp; Outputs'!$B$4/'Inputs &amp; Outputs'!$B$5)*A268+Calculations!$A$7)</f>
        <v>-3.5573899488838943</v>
      </c>
      <c r="C268">
        <f>SQRT('Inputs &amp; Outputs'!$B$4/'Inputs &amp; Outputs'!$B$5)*Calculations!$A$3*COS(SQRT('Inputs &amp; Outputs'!$B$4/'Inputs &amp; Outputs'!$B$5)*A268+Calculations!$A$7)</f>
        <v>-3.7197102290225459</v>
      </c>
      <c r="D268">
        <f>1/2*'Inputs &amp; Outputs'!$B$5*'Analytical Steps'!C268^2</f>
        <v>138.3624418789496</v>
      </c>
      <c r="E268">
        <f>1/2*'Inputs &amp; Outputs'!$B$4*'Analytical Steps'!B268^2</f>
        <v>31.63755812105039</v>
      </c>
      <c r="F268">
        <f t="shared" si="4"/>
        <v>170</v>
      </c>
    </row>
    <row r="269" spans="1:6" x14ac:dyDescent="0.2">
      <c r="A269">
        <f>A268+'Inputs &amp; Outputs'!$B$6</f>
        <v>6.7104419080678372</v>
      </c>
      <c r="B269">
        <f>Calculations!$A$3*SIN(SQRT('Inputs &amp; Outputs'!$B$4/'Inputs &amp; Outputs'!$B$5)*A269+Calculations!$A$7)</f>
        <v>-3.6505931265129683</v>
      </c>
      <c r="C269">
        <f>SQRT('Inputs &amp; Outputs'!$B$4/'Inputs &amp; Outputs'!$B$5)*Calculations!$A$3*COS(SQRT('Inputs &amp; Outputs'!$B$4/'Inputs &amp; Outputs'!$B$5)*A269+Calculations!$A$7)</f>
        <v>-3.6970653843506835</v>
      </c>
      <c r="D269">
        <f>1/2*'Inputs &amp; Outputs'!$B$5*'Analytical Steps'!C269^2</f>
        <v>136.68292456164068</v>
      </c>
      <c r="E269">
        <f>1/2*'Inputs &amp; Outputs'!$B$4*'Analytical Steps'!B269^2</f>
        <v>33.317075438359318</v>
      </c>
      <c r="F269">
        <f t="shared" si="4"/>
        <v>170</v>
      </c>
    </row>
    <row r="270" spans="1:6" x14ac:dyDescent="0.2">
      <c r="A270">
        <f>A269+'Inputs &amp; Outputs'!$B$6</f>
        <v>6.7355746492965558</v>
      </c>
      <c r="B270">
        <f>Calculations!$A$3*SIN(SQRT('Inputs &amp; Outputs'!$B$4/'Inputs &amp; Outputs'!$B$5)*A270+Calculations!$A$7)</f>
        <v>-3.7432198331683479</v>
      </c>
      <c r="C270">
        <f>SQRT('Inputs &amp; Outputs'!$B$4/'Inputs &amp; Outputs'!$B$5)*Calculations!$A$3*COS(SQRT('Inputs &amp; Outputs'!$B$4/'Inputs &amp; Outputs'!$B$5)*A270+Calculations!$A$7)</f>
        <v>-3.6738367301968906</v>
      </c>
      <c r="D270">
        <f>1/2*'Inputs &amp; Outputs'!$B$5*'Analytical Steps'!C270^2</f>
        <v>134.97076320143782</v>
      </c>
      <c r="E270">
        <f>1/2*'Inputs &amp; Outputs'!$B$4*'Analytical Steps'!B270^2</f>
        <v>35.029236798562181</v>
      </c>
      <c r="F270">
        <f t="shared" si="4"/>
        <v>170</v>
      </c>
    </row>
    <row r="271" spans="1:6" x14ac:dyDescent="0.2">
      <c r="A271">
        <f>A270+'Inputs &amp; Outputs'!$B$6</f>
        <v>6.7607073905252744</v>
      </c>
      <c r="B271">
        <f>Calculations!$A$3*SIN(SQRT('Inputs &amp; Outputs'!$B$4/'Inputs &amp; Outputs'!$B$5)*A271+Calculations!$A$7)</f>
        <v>-3.8352554420192893</v>
      </c>
      <c r="C271">
        <f>SQRT('Inputs &amp; Outputs'!$B$4/'Inputs &amp; Outputs'!$B$5)*Calculations!$A$3*COS(SQRT('Inputs &amp; Outputs'!$B$4/'Inputs &amp; Outputs'!$B$5)*A271+Calculations!$A$7)</f>
        <v>-3.6500279346349331</v>
      </c>
      <c r="D271">
        <f>1/2*'Inputs &amp; Outputs'!$B$5*'Analytical Steps'!C271^2</f>
        <v>133.22703923615356</v>
      </c>
      <c r="E271">
        <f>1/2*'Inputs &amp; Outputs'!$B$4*'Analytical Steps'!B271^2</f>
        <v>36.772960763846434</v>
      </c>
      <c r="F271">
        <f t="shared" si="4"/>
        <v>170</v>
      </c>
    </row>
    <row r="272" spans="1:6" x14ac:dyDescent="0.2">
      <c r="A272">
        <f>A271+'Inputs &amp; Outputs'!$B$6</f>
        <v>6.7858401317539929</v>
      </c>
      <c r="B272">
        <f>Calculations!$A$3*SIN(SQRT('Inputs &amp; Outputs'!$B$4/'Inputs &amp; Outputs'!$B$5)*A272+Calculations!$A$7)</f>
        <v>-3.9266854195762444</v>
      </c>
      <c r="C272">
        <f>SQRT('Inputs &amp; Outputs'!$B$4/'Inputs &amp; Outputs'!$B$5)*Calculations!$A$3*COS(SQRT('Inputs &amp; Outputs'!$B$4/'Inputs &amp; Outputs'!$B$5)*A272+Calculations!$A$7)</f>
        <v>-3.6256427573496306</v>
      </c>
      <c r="D272">
        <f>1/2*'Inputs &amp; Outputs'!$B$5*'Analytical Steps'!C272^2</f>
        <v>131.45285403921832</v>
      </c>
      <c r="E272">
        <f>1/2*'Inputs &amp; Outputs'!$B$4*'Analytical Steps'!B272^2</f>
        <v>38.54714596078167</v>
      </c>
      <c r="F272">
        <f t="shared" si="4"/>
        <v>170</v>
      </c>
    </row>
    <row r="273" spans="1:6" x14ac:dyDescent="0.2">
      <c r="A273">
        <f>A272+'Inputs &amp; Outputs'!$B$6</f>
        <v>6.8109728729827115</v>
      </c>
      <c r="B273">
        <f>Calculations!$A$3*SIN(SQRT('Inputs &amp; Outputs'!$B$4/'Inputs &amp; Outputs'!$B$5)*A273+Calculations!$A$7)</f>
        <v>-4.0174953279858663</v>
      </c>
      <c r="C273">
        <f>SQRT('Inputs &amp; Outputs'!$B$4/'Inputs &amp; Outputs'!$B$5)*Calculations!$A$3*COS(SQRT('Inputs &amp; Outputs'!$B$4/'Inputs &amp; Outputs'!$B$5)*A273+Calculations!$A$7)</f>
        <v>-3.6006850490431583</v>
      </c>
      <c r="D273">
        <f>1/2*'Inputs &amp; Outputs'!$B$5*'Analytical Steps'!C273^2</f>
        <v>129.64932822402932</v>
      </c>
      <c r="E273">
        <f>1/2*'Inputs &amp; Outputs'!$B$4*'Analytical Steps'!B273^2</f>
        <v>40.350671775970653</v>
      </c>
      <c r="F273">
        <f t="shared" si="4"/>
        <v>169.99999999999997</v>
      </c>
    </row>
    <row r="274" spans="1:6" x14ac:dyDescent="0.2">
      <c r="A274">
        <f>A273+'Inputs &amp; Outputs'!$B$6</f>
        <v>6.83610561421143</v>
      </c>
      <c r="B274">
        <f>Calculations!$A$3*SIN(SQRT('Inputs &amp; Outputs'!$B$4/'Inputs &amp; Outputs'!$B$5)*A274+Calculations!$A$7)</f>
        <v>-4.1076708273109173</v>
      </c>
      <c r="C274">
        <f>SQRT('Inputs &amp; Outputs'!$B$4/'Inputs &amp; Outputs'!$B$5)*Calculations!$A$3*COS(SQRT('Inputs &amp; Outputs'!$B$4/'Inputs &amp; Outputs'!$B$5)*A274+Calculations!$A$7)</f>
        <v>-3.5751587508269771</v>
      </c>
      <c r="D274">
        <f>1/2*'Inputs &amp; Outputs'!$B$5*'Analytical Steps'!C274^2</f>
        <v>127.8176009361471</v>
      </c>
      <c r="E274">
        <f>1/2*'Inputs &amp; Outputs'!$B$4*'Analytical Steps'!B274^2</f>
        <v>42.182399063852891</v>
      </c>
      <c r="F274">
        <f t="shared" si="4"/>
        <v>170</v>
      </c>
    </row>
    <row r="275" spans="1:6" x14ac:dyDescent="0.2">
      <c r="A275">
        <f>A274+'Inputs &amp; Outputs'!$B$6</f>
        <v>6.8612383554401486</v>
      </c>
      <c r="B275">
        <f>Calculations!$A$3*SIN(SQRT('Inputs &amp; Outputs'!$B$4/'Inputs &amp; Outputs'!$B$5)*A275+Calculations!$A$7)</f>
        <v>-4.197197677794704</v>
      </c>
      <c r="C275">
        <f>SQRT('Inputs &amp; Outputs'!$B$4/'Inputs &amp; Outputs'!$B$5)*Calculations!$A$3*COS(SQRT('Inputs &amp; Outputs'!$B$4/'Inputs &amp; Outputs'!$B$5)*A275+Calculations!$A$7)</f>
        <v>-3.5490678935994855</v>
      </c>
      <c r="D275">
        <f>1/2*'Inputs &amp; Outputs'!$B$5*'Analytical Steps'!C275^2</f>
        <v>125.95882913378689</v>
      </c>
      <c r="E275">
        <f>1/2*'Inputs &amp; Outputs'!$B$4*'Analytical Steps'!B275^2</f>
        <v>44.041170866213136</v>
      </c>
      <c r="F275">
        <f t="shared" si="4"/>
        <v>170.00000000000003</v>
      </c>
    </row>
    <row r="276" spans="1:6" x14ac:dyDescent="0.2">
      <c r="A276">
        <f>A275+'Inputs &amp; Outputs'!$B$6</f>
        <v>6.8863710966688672</v>
      </c>
      <c r="B276">
        <f>Calculations!$A$3*SIN(SQRT('Inputs &amp; Outputs'!$B$4/'Inputs &amp; Outputs'!$B$5)*A276+Calculations!$A$7)</f>
        <v>-4.286061742109708</v>
      </c>
      <c r="C276">
        <f>SQRT('Inputs &amp; Outputs'!$B$4/'Inputs &amp; Outputs'!$B$5)*Calculations!$A$3*COS(SQRT('Inputs &amp; Outputs'!$B$4/'Inputs &amp; Outputs'!$B$5)*A276+Calculations!$A$7)</f>
        <v>-3.5224165974094936</v>
      </c>
      <c r="D276">
        <f>1/2*'Inputs &amp; Outputs'!$B$5*'Analytical Steps'!C276^2</f>
        <v>124.07418685705875</v>
      </c>
      <c r="E276">
        <f>1/2*'Inputs &amp; Outputs'!$B$4*'Analytical Steps'!B276^2</f>
        <v>45.925813142941266</v>
      </c>
      <c r="F276">
        <f t="shared" si="4"/>
        <v>170</v>
      </c>
    </row>
    <row r="277" spans="1:6" x14ac:dyDescent="0.2">
      <c r="A277">
        <f>A276+'Inputs &amp; Outputs'!$B$6</f>
        <v>6.9115038378975857</v>
      </c>
      <c r="B277">
        <f>Calculations!$A$3*SIN(SQRT('Inputs &amp; Outputs'!$B$4/'Inputs &amp; Outputs'!$B$5)*A277+Calculations!$A$7)</f>
        <v>-4.374248987590029</v>
      </c>
      <c r="C277">
        <f>SQRT('Inputs &amp; Outputs'!$B$4/'Inputs &amp; Outputs'!$B$5)*Calculations!$A$3*COS(SQRT('Inputs &amp; Outputs'!$B$4/'Inputs &amp; Outputs'!$B$5)*A277+Calculations!$A$7)</f>
        <v>-3.4952090708056223</v>
      </c>
      <c r="D277">
        <f>1/2*'Inputs &amp; Outputs'!$B$5*'Analytical Steps'!C277^2</f>
        <v>122.16486448641902</v>
      </c>
      <c r="E277">
        <f>1/2*'Inputs &amp; Outputs'!$B$4*'Analytical Steps'!B277^2</f>
        <v>47.835135513580987</v>
      </c>
      <c r="F277">
        <f t="shared" si="4"/>
        <v>170</v>
      </c>
    </row>
    <row r="278" spans="1:6" x14ac:dyDescent="0.2">
      <c r="A278">
        <f>A277+'Inputs &amp; Outputs'!$B$6</f>
        <v>6.9366365791263043</v>
      </c>
      <c r="B278">
        <f>Calculations!$A$3*SIN(SQRT('Inputs &amp; Outputs'!$B$4/'Inputs &amp; Outputs'!$B$5)*A278+Calculations!$A$7)</f>
        <v>-4.4617454884473071</v>
      </c>
      <c r="C278">
        <f>SQRT('Inputs &amp; Outputs'!$B$4/'Inputs &amp; Outputs'!$B$5)*Calculations!$A$3*COS(SQRT('Inputs &amp; Outputs'!$B$4/'Inputs &amp; Outputs'!$B$5)*A278+Calculations!$A$7)</f>
        <v>-3.4674496101717218</v>
      </c>
      <c r="D278">
        <f>1/2*'Inputs &amp; Outputs'!$B$5*'Analytical Steps'!C278^2</f>
        <v>120.23206799080026</v>
      </c>
      <c r="E278">
        <f>1/2*'Inputs &amp; Outputs'!$B$4*'Analytical Steps'!B278^2</f>
        <v>49.767932009199747</v>
      </c>
      <c r="F278">
        <f t="shared" si="4"/>
        <v>170</v>
      </c>
    </row>
    <row r="279" spans="1:6" x14ac:dyDescent="0.2">
      <c r="A279">
        <f>A278+'Inputs &amp; Outputs'!$B$6</f>
        <v>6.9617693203550228</v>
      </c>
      <c r="B279">
        <f>Calculations!$A$3*SIN(SQRT('Inputs &amp; Outputs'!$B$4/'Inputs &amp; Outputs'!$B$5)*A279+Calculations!$A$7)</f>
        <v>-4.5485374279697632</v>
      </c>
      <c r="C279">
        <f>SQRT('Inputs &amp; Outputs'!$B$4/'Inputs &amp; Outputs'!$B$5)*Calculations!$A$3*COS(SQRT('Inputs &amp; Outputs'!$B$4/'Inputs &amp; Outputs'!$B$5)*A279+Calculations!$A$7)</f>
        <v>-3.4391425990484241</v>
      </c>
      <c r="D279">
        <f>1/2*'Inputs &amp; Outputs'!$B$5*'Analytical Steps'!C279^2</f>
        <v>118.2770181658955</v>
      </c>
      <c r="E279">
        <f>1/2*'Inputs &amp; Outputs'!$B$4*'Analytical Steps'!B279^2</f>
        <v>51.722981834104473</v>
      </c>
      <c r="F279">
        <f t="shared" si="4"/>
        <v>169.99999999999997</v>
      </c>
    </row>
    <row r="280" spans="1:6" x14ac:dyDescent="0.2">
      <c r="A280">
        <f>A279+'Inputs &amp; Outputs'!$B$6</f>
        <v>6.9869020615837414</v>
      </c>
      <c r="B280">
        <f>Calculations!$A$3*SIN(SQRT('Inputs &amp; Outputs'!$B$4/'Inputs &amp; Outputs'!$B$5)*A280+Calculations!$A$7)</f>
        <v>-4.634611100704026</v>
      </c>
      <c r="C280">
        <f>SQRT('Inputs &amp; Outputs'!$B$4/'Inputs &amp; Outputs'!$B$5)*Calculations!$A$3*COS(SQRT('Inputs &amp; Outputs'!$B$4/'Inputs &amp; Outputs'!$B$5)*A280+Calculations!$A$7)</f>
        <v>-3.4102925074409312</v>
      </c>
      <c r="D280">
        <f>1/2*'Inputs &amp; Outputs'!$B$5*'Analytical Steps'!C280^2</f>
        <v>116.30094986307753</v>
      </c>
      <c r="E280">
        <f>1/2*'Inputs &amp; Outputs'!$B$4*'Analytical Steps'!B280^2</f>
        <v>53.699050136922459</v>
      </c>
      <c r="F280">
        <f t="shared" si="4"/>
        <v>170</v>
      </c>
    </row>
    <row r="281" spans="1:6" x14ac:dyDescent="0.2">
      <c r="A281">
        <f>A280+'Inputs &amp; Outputs'!$B$6</f>
        <v>7.0120348028124599</v>
      </c>
      <c r="B281">
        <f>Calculations!$A$3*SIN(SQRT('Inputs &amp; Outputs'!$B$4/'Inputs &amp; Outputs'!$B$5)*A281+Calculations!$A$7)</f>
        <v>-4.7199529146193706</v>
      </c>
      <c r="C281">
        <f>SQRT('Inputs &amp; Outputs'!$B$4/'Inputs &amp; Outputs'!$B$5)*Calculations!$A$3*COS(SQRT('Inputs &amp; Outputs'!$B$4/'Inputs &amp; Outputs'!$B$5)*A281+Calculations!$A$7)</f>
        <v>-3.3809038911131486</v>
      </c>
      <c r="D281">
        <f>1/2*'Inputs &amp; Outputs'!$B$5*'Analytical Steps'!C281^2</f>
        <v>114.3051112094403</v>
      </c>
      <c r="E281">
        <f>1/2*'Inputs &amp; Outputs'!$B$4*'Analytical Steps'!B281^2</f>
        <v>55.69488879055973</v>
      </c>
      <c r="F281">
        <f t="shared" si="4"/>
        <v>170.00000000000003</v>
      </c>
    </row>
    <row r="282" spans="1:6" x14ac:dyDescent="0.2">
      <c r="A282">
        <f>A281+'Inputs &amp; Outputs'!$B$6</f>
        <v>7.0371675440411785</v>
      </c>
      <c r="B282">
        <f>Calculations!$A$3*SIN(SQRT('Inputs &amp; Outputs'!$B$4/'Inputs &amp; Outputs'!$B$5)*A282+Calculations!$A$7)</f>
        <v>-4.8045493932540664</v>
      </c>
      <c r="C282">
        <f>SQRT('Inputs &amp; Outputs'!$B$4/'Inputs &amp; Outputs'!$B$5)*Calculations!$A$3*COS(SQRT('Inputs &amp; Outputs'!$B$4/'Inputs &amp; Outputs'!$B$5)*A282+Calculations!$A$7)</f>
        <v>-3.3509813908682773</v>
      </c>
      <c r="D282">
        <f>1/2*'Inputs &amp; Outputs'!$B$5*'Analytical Steps'!C282^2</f>
        <v>112.29076281945494</v>
      </c>
      <c r="E282">
        <f>1/2*'Inputs &amp; Outputs'!$B$4*'Analytical Steps'!B282^2</f>
        <v>57.709237180545045</v>
      </c>
      <c r="F282">
        <f t="shared" si="4"/>
        <v>170</v>
      </c>
    </row>
    <row r="283" spans="1:6" x14ac:dyDescent="0.2">
      <c r="A283">
        <f>A282+'Inputs &amp; Outputs'!$B$6</f>
        <v>7.0623002852698971</v>
      </c>
      <c r="B283">
        <f>Calculations!$A$3*SIN(SQRT('Inputs &amp; Outputs'!$B$4/'Inputs &amp; Outputs'!$B$5)*A283+Calculations!$A$7)</f>
        <v>-4.8883871778434651</v>
      </c>
      <c r="C283">
        <f>SQRT('Inputs &amp; Outputs'!$B$4/'Inputs &amp; Outputs'!$B$5)*Calculations!$A$3*COS(SQRT('Inputs &amp; Outputs'!$B$4/'Inputs &amp; Outputs'!$B$5)*A283+Calculations!$A$7)</f>
        <v>-3.3205297318159794</v>
      </c>
      <c r="D283">
        <f>1/2*'Inputs &amp; Outputs'!$B$5*'Analytical Steps'!C283^2</f>
        <v>110.25917699873901</v>
      </c>
      <c r="E283">
        <f>1/2*'Inputs &amp; Outputs'!$B$4*'Analytical Steps'!B283^2</f>
        <v>59.740823001260992</v>
      </c>
      <c r="F283">
        <f t="shared" si="4"/>
        <v>170</v>
      </c>
    </row>
    <row r="284" spans="1:6" x14ac:dyDescent="0.2">
      <c r="A284">
        <f>A283+'Inputs &amp; Outputs'!$B$6</f>
        <v>7.0874330264986156</v>
      </c>
      <c r="B284">
        <f>Calculations!$A$3*SIN(SQRT('Inputs &amp; Outputs'!$B$4/'Inputs &amp; Outputs'!$B$5)*A284+Calculations!$A$7)</f>
        <v>-4.9714530294294992</v>
      </c>
      <c r="C284">
        <f>SQRT('Inputs &amp; Outputs'!$B$4/'Inputs &amp; Outputs'!$B$5)*Calculations!$A$3*COS(SQRT('Inputs &amp; Outputs'!$B$4/'Inputs &amp; Outputs'!$B$5)*A284+Calculations!$A$7)</f>
        <v>-3.2895537226262266</v>
      </c>
      <c r="D284">
        <f>1/2*'Inputs &amp; Outputs'!$B$5*'Analytical Steps'!C284^2</f>
        <v>108.21163694044066</v>
      </c>
      <c r="E284">
        <f>1/2*'Inputs &amp; Outputs'!$B$4*'Analytical Steps'!B284^2</f>
        <v>61.788363059559366</v>
      </c>
      <c r="F284">
        <f t="shared" si="4"/>
        <v>170.00000000000003</v>
      </c>
    </row>
    <row r="285" spans="1:6" x14ac:dyDescent="0.2">
      <c r="A285">
        <f>A284+'Inputs &amp; Outputs'!$B$6</f>
        <v>7.1125657677273342</v>
      </c>
      <c r="B285">
        <f>Calculations!$A$3*SIN(SQRT('Inputs &amp; Outputs'!$B$4/'Inputs &amp; Outputs'!$B$5)*A285+Calculations!$A$7)</f>
        <v>-5.0537338309512743</v>
      </c>
      <c r="C285">
        <f>SQRT('Inputs &amp; Outputs'!$B$4/'Inputs &amp; Outputs'!$B$5)*Calculations!$A$3*COS(SQRT('Inputs &amp; Outputs'!$B$4/'Inputs &amp; Outputs'!$B$5)*A285+Calculations!$A$7)</f>
        <v>-3.2580582547699537</v>
      </c>
      <c r="D285">
        <f>1/2*'Inputs &amp; Outputs'!$B$5*'Analytical Steps'!C285^2</f>
        <v>106.14943591474636</v>
      </c>
      <c r="E285">
        <f>1/2*'Inputs &amp; Outputs'!$B$4*'Analytical Steps'!B285^2</f>
        <v>63.850564085253609</v>
      </c>
      <c r="F285">
        <f t="shared" si="4"/>
        <v>169.99999999999997</v>
      </c>
    </row>
    <row r="286" spans="1:6" x14ac:dyDescent="0.2">
      <c r="A286">
        <f>A285+'Inputs &amp; Outputs'!$B$6</f>
        <v>7.1376985089560527</v>
      </c>
      <c r="B286">
        <f>Calculations!$A$3*SIN(SQRT('Inputs &amp; Outputs'!$B$4/'Inputs &amp; Outputs'!$B$5)*A286+Calculations!$A$7)</f>
        <v>-5.1352165893164017</v>
      </c>
      <c r="C286">
        <f>SQRT('Inputs &amp; Outputs'!$B$4/'Inputs &amp; Outputs'!$B$5)*Calculations!$A$3*COS(SQRT('Inputs &amp; Outputs'!$B$4/'Inputs &amp; Outputs'!$B$5)*A286+Calculations!$A$7)</f>
        <v>-3.2260483017466437</v>
      </c>
      <c r="D286">
        <f>1/2*'Inputs &amp; Outputs'!$B$5*'Analytical Steps'!C286^2</f>
        <v>104.07387645202404</v>
      </c>
      <c r="E286">
        <f>1/2*'Inputs &amp; Outputs'!$B$4*'Analytical Steps'!B286^2</f>
        <v>65.926123547975934</v>
      </c>
      <c r="F286">
        <f t="shared" si="4"/>
        <v>169.99999999999997</v>
      </c>
    </row>
    <row r="287" spans="1:6" x14ac:dyDescent="0.2">
      <c r="A287">
        <f>A286+'Inputs &amp; Outputs'!$B$6</f>
        <v>7.1628312501847713</v>
      </c>
      <c r="B287">
        <f>Calculations!$A$3*SIN(SQRT('Inputs &amp; Outputs'!$B$4/'Inputs &amp; Outputs'!$B$5)*A287+Calculations!$A$7)</f>
        <v>-5.2158884374527572</v>
      </c>
      <c r="C287">
        <f>SQRT('Inputs &amp; Outputs'!$B$4/'Inputs &amp; Outputs'!$B$5)*Calculations!$A$3*COS(SQRT('Inputs &amp; Outputs'!$B$4/'Inputs &amp; Outputs'!$B$5)*A287+Calculations!$A$7)</f>
        <v>-3.1935289182989495</v>
      </c>
      <c r="D287">
        <f>1/2*'Inputs &amp; Outputs'!$B$5*'Analytical Steps'!C287^2</f>
        <v>101.98626952011658</v>
      </c>
      <c r="E287">
        <f>1/2*'Inputs &amp; Outputs'!$B$4*'Analytical Steps'!B287^2</f>
        <v>68.013730479883407</v>
      </c>
      <c r="F287">
        <f t="shared" si="4"/>
        <v>170</v>
      </c>
    </row>
    <row r="288" spans="1:6" x14ac:dyDescent="0.2">
      <c r="A288">
        <f>A287+'Inputs &amp; Outputs'!$B$6</f>
        <v>7.1879639914134899</v>
      </c>
      <c r="B288">
        <f>Calculations!$A$3*SIN(SQRT('Inputs &amp; Outputs'!$B$4/'Inputs &amp; Outputs'!$B$5)*A288+Calculations!$A$7)</f>
        <v>-5.295736636340342</v>
      </c>
      <c r="C288">
        <f>SQRT('Inputs &amp; Outputs'!$B$4/'Inputs &amp; Outputs'!$B$5)*Calculations!$A$3*COS(SQRT('Inputs &amp; Outputs'!$B$4/'Inputs &amp; Outputs'!$B$5)*A288+Calculations!$A$7)</f>
        <v>-3.1605052396144941</v>
      </c>
      <c r="D288">
        <f>1/2*'Inputs &amp; Outputs'!$B$5*'Analytical Steps'!C288^2</f>
        <v>99.887933696306703</v>
      </c>
      <c r="E288">
        <f>1/2*'Inputs &amp; Outputs'!$B$4*'Analytical Steps'!B288^2</f>
        <v>70.112066303693297</v>
      </c>
      <c r="F288">
        <f t="shared" si="4"/>
        <v>170</v>
      </c>
    </row>
    <row r="289" spans="1:6" x14ac:dyDescent="0.2">
      <c r="A289">
        <f>A288+'Inputs &amp; Outputs'!$B$6</f>
        <v>7.2130967326422084</v>
      </c>
      <c r="B289">
        <f>Calculations!$A$3*SIN(SQRT('Inputs &amp; Outputs'!$B$4/'Inputs &amp; Outputs'!$B$5)*A289+Calculations!$A$7)</f>
        <v>-5.3747485770229213</v>
      </c>
      <c r="C289">
        <f>SQRT('Inputs &amp; Outputs'!$B$4/'Inputs &amp; Outputs'!$B$5)*Calculations!$A$3*COS(SQRT('Inputs &amp; Outputs'!$B$4/'Inputs &amp; Outputs'!$B$5)*A289+Calculations!$A$7)</f>
        <v>-3.1269824805149651</v>
      </c>
      <c r="D289">
        <f>1/2*'Inputs &amp; Outputs'!$B$5*'Analytical Steps'!C289^2</f>
        <v>97.78019433447524</v>
      </c>
      <c r="E289">
        <f>1/2*'Inputs &amp; Outputs'!$B$4*'Analytical Steps'!B289^2</f>
        <v>72.219805665524788</v>
      </c>
      <c r="F289">
        <f t="shared" si="4"/>
        <v>170.00000000000003</v>
      </c>
    </row>
    <row r="290" spans="1:6" x14ac:dyDescent="0.2">
      <c r="A290">
        <f>A289+'Inputs &amp; Outputs'!$B$6</f>
        <v>7.238229473870927</v>
      </c>
      <c r="B290">
        <f>Calculations!$A$3*SIN(SQRT('Inputs &amp; Outputs'!$B$4/'Inputs &amp; Outputs'!$B$5)*A290+Calculations!$A$7)</f>
        <v>-5.4529117825991271</v>
      </c>
      <c r="C290">
        <f>SQRT('Inputs &amp; Outputs'!$B$4/'Inputs &amp; Outputs'!$B$5)*Calculations!$A$3*COS(SQRT('Inputs &amp; Outputs'!$B$4/'Inputs &amp; Outputs'!$B$5)*A290+Calculations!$A$7)</f>
        <v>-3.0929659346326308</v>
      </c>
      <c r="D290">
        <f>1/2*'Inputs &amp; Outputs'!$B$5*'Analytical Steps'!C290^2</f>
        <v>95.664382727979032</v>
      </c>
      <c r="E290">
        <f>1/2*'Inputs &amp; Outputs'!$B$4*'Analytical Steps'!B290^2</f>
        <v>74.335617272020983</v>
      </c>
      <c r="F290">
        <f t="shared" si="4"/>
        <v>170</v>
      </c>
    </row>
    <row r="291" spans="1:6" x14ac:dyDescent="0.2">
      <c r="A291">
        <f>A290+'Inputs &amp; Outputs'!$B$6</f>
        <v>7.2633622150996455</v>
      </c>
      <c r="B291">
        <f>Calculations!$A$3*SIN(SQRT('Inputs &amp; Outputs'!$B$4/'Inputs &amp; Outputs'!$B$5)*A291+Calculations!$A$7)</f>
        <v>-5.5302139101927015</v>
      </c>
      <c r="C291">
        <f>SQRT('Inputs &amp; Outputs'!$B$4/'Inputs &amp; Outputs'!$B$5)*Calculations!$A$3*COS(SQRT('Inputs &amp; Outputs'!$B$4/'Inputs &amp; Outputs'!$B$5)*A291+Calculations!$A$7)</f>
        <v>-3.0584609735744199</v>
      </c>
      <c r="D291">
        <f>1/2*'Inputs &amp; Outputs'!$B$5*'Analytical Steps'!C291^2</f>
        <v>93.541835268777888</v>
      </c>
      <c r="E291">
        <f>1/2*'Inputs &amp; Outputs'!$B$4*'Analytical Steps'!B291^2</f>
        <v>76.458164731222126</v>
      </c>
      <c r="F291">
        <f t="shared" si="4"/>
        <v>170</v>
      </c>
    </row>
    <row r="292" spans="1:6" x14ac:dyDescent="0.2">
      <c r="A292">
        <f>A291+'Inputs &amp; Outputs'!$B$6</f>
        <v>7.2884949563283641</v>
      </c>
      <c r="B292">
        <f>Calculations!$A$3*SIN(SQRT('Inputs &amp; Outputs'!$B$4/'Inputs &amp; Outputs'!$B$5)*A292+Calculations!$A$7)</f>
        <v>-5.6066427529015819</v>
      </c>
      <c r="C292">
        <f>SQRT('Inputs &amp; Outputs'!$B$4/'Inputs &amp; Outputs'!$B$5)*Calculations!$A$3*COS(SQRT('Inputs &amp; Outputs'!$B$4/'Inputs &amp; Outputs'!$B$5)*A292+Calculations!$A$7)</f>
        <v>-3.0234730460736778</v>
      </c>
      <c r="D292">
        <f>1/2*'Inputs &amp; Outputs'!$B$5*'Analytical Steps'!C292^2</f>
        <v>91.413892603340443</v>
      </c>
      <c r="E292">
        <f>1/2*'Inputs &amp; Outputs'!$B$4*'Analytical Steps'!B292^2</f>
        <v>78.586107396659571</v>
      </c>
      <c r="F292">
        <f t="shared" si="4"/>
        <v>170</v>
      </c>
    </row>
    <row r="293" spans="1:6" x14ac:dyDescent="0.2">
      <c r="A293">
        <f>A292+'Inputs &amp; Outputs'!$B$6</f>
        <v>7.3136276975570826</v>
      </c>
      <c r="B293">
        <f>Calculations!$A$3*SIN(SQRT('Inputs &amp; Outputs'!$B$4/'Inputs &amp; Outputs'!$B$5)*A293+Calculations!$A$7)</f>
        <v>-5.6821862417255158</v>
      </c>
      <c r="C293">
        <f>SQRT('Inputs &amp; Outputs'!$B$4/'Inputs &amp; Outputs'!$B$5)*Calculations!$A$3*COS(SQRT('Inputs &amp; Outputs'!$B$4/'Inputs &amp; Outputs'!$B$5)*A293+Calculations!$A$7)</f>
        <v>-2.9880076771297488</v>
      </c>
      <c r="D293">
        <f>1/2*'Inputs &amp; Outputs'!$B$5*'Analytical Steps'!C293^2</f>
        <v>89.281898785863163</v>
      </c>
      <c r="E293">
        <f>1/2*'Inputs &amp; Outputs'!$B$4*'Analytical Steps'!B293^2</f>
        <v>80.718101214136851</v>
      </c>
      <c r="F293">
        <f t="shared" si="4"/>
        <v>170</v>
      </c>
    </row>
    <row r="294" spans="1:6" x14ac:dyDescent="0.2">
      <c r="A294">
        <f>A293+'Inputs &amp; Outputs'!$B$6</f>
        <v>7.3387604387858012</v>
      </c>
      <c r="B294">
        <f>Calculations!$A$3*SIN(SQRT('Inputs &amp; Outputs'!$B$4/'Inputs &amp; Outputs'!$B$5)*A294+Calculations!$A$7)</f>
        <v>-5.7568324474718882</v>
      </c>
      <c r="C294">
        <f>SQRT('Inputs &amp; Outputs'!$B$4/'Inputs &amp; Outputs'!$B$5)*Calculations!$A$3*COS(SQRT('Inputs &amp; Outputs'!$B$4/'Inputs &amp; Outputs'!$B$5)*A294+Calculations!$A$7)</f>
        <v>-2.9520704671355169</v>
      </c>
      <c r="D294">
        <f>1/2*'Inputs &amp; Outputs'!$B$5*'Analytical Steps'!C294^2</f>
        <v>87.14720042933709</v>
      </c>
      <c r="E294">
        <f>1/2*'Inputs &amp; Outputs'!$B$4*'Analytical Steps'!B294^2</f>
        <v>82.852799570662924</v>
      </c>
      <c r="F294">
        <f t="shared" si="4"/>
        <v>170</v>
      </c>
    </row>
    <row r="295" spans="1:6" x14ac:dyDescent="0.2">
      <c r="A295">
        <f>A294+'Inputs &amp; Outputs'!$B$6</f>
        <v>7.3638931800145198</v>
      </c>
      <c r="B295">
        <f>Calculations!$A$3*SIN(SQRT('Inputs &amp; Outputs'!$B$4/'Inputs &amp; Outputs'!$B$5)*A295+Calculations!$A$7)</f>
        <v>-5.8305695826394857</v>
      </c>
      <c r="C295">
        <f>SQRT('Inputs &amp; Outputs'!$B$4/'Inputs &amp; Outputs'!$B$5)*Calculations!$A$3*COS(SQRT('Inputs &amp; Outputs'!$B$4/'Inputs &amp; Outputs'!$B$5)*A295+Calculations!$A$7)</f>
        <v>-2.915667090993038</v>
      </c>
      <c r="D295">
        <f>1/2*'Inputs &amp; Outputs'!$B$5*'Analytical Steps'!C295^2</f>
        <v>85.011145854998048</v>
      </c>
      <c r="E295">
        <f>1/2*'Inputs &amp; Outputs'!$B$4*'Analytical Steps'!B295^2</f>
        <v>84.988854145001966</v>
      </c>
      <c r="F295">
        <f t="shared" si="4"/>
        <v>170</v>
      </c>
    </row>
    <row r="296" spans="1:6" x14ac:dyDescent="0.2">
      <c r="A296">
        <f>A295+'Inputs &amp; Outputs'!$B$6</f>
        <v>7.3890259212432383</v>
      </c>
      <c r="B296">
        <f>Calculations!$A$3*SIN(SQRT('Inputs &amp; Outputs'!$B$4/'Inputs &amp; Outputs'!$B$5)*A296+Calculations!$A$7)</f>
        <v>-5.9033860032798779</v>
      </c>
      <c r="C296">
        <f>SQRT('Inputs &amp; Outputs'!$B$4/'Inputs &amp; Outputs'!$B$5)*Calculations!$A$3*COS(SQRT('Inputs &amp; Outputs'!$B$4/'Inputs &amp; Outputs'!$B$5)*A296+Calculations!$A$7)</f>
        <v>-2.8788032972174054</v>
      </c>
      <c r="D296">
        <f>1/2*'Inputs &amp; Outputs'!$B$5*'Analytical Steps'!C296^2</f>
        <v>82.875084240698044</v>
      </c>
      <c r="E296">
        <f>1/2*'Inputs &amp; Outputs'!$B$4*'Analytical Steps'!B296^2</f>
        <v>87.124915759301928</v>
      </c>
      <c r="F296">
        <f t="shared" si="4"/>
        <v>169.99999999999997</v>
      </c>
    </row>
    <row r="297" spans="1:6" x14ac:dyDescent="0.2">
      <c r="A297">
        <f>A296+'Inputs &amp; Outputs'!$B$6</f>
        <v>7.4141586624719569</v>
      </c>
      <c r="B297">
        <f>Calculations!$A$3*SIN(SQRT('Inputs &amp; Outputs'!$B$4/'Inputs &amp; Outputs'!$B$5)*A297+Calculations!$A$7)</f>
        <v>-5.9752702108361309</v>
      </c>
      <c r="C297">
        <f>SQRT('Inputs &amp; Outputs'!$B$4/'Inputs &amp; Outputs'!$B$5)*Calculations!$A$3*COS(SQRT('Inputs &amp; Outputs'!$B$4/'Inputs &amp; Outputs'!$B$5)*A297+Calculations!$A$7)</f>
        <v>-2.8414849070289967</v>
      </c>
      <c r="D297">
        <f>1/2*'Inputs &amp; Outputs'!$B$5*'Analytical Steps'!C297^2</f>
        <v>80.740364768735859</v>
      </c>
      <c r="E297">
        <f>1/2*'Inputs &amp; Outputs'!$B$4*'Analytical Steps'!B297^2</f>
        <v>89.259635231264141</v>
      </c>
      <c r="F297">
        <f t="shared" si="4"/>
        <v>170</v>
      </c>
    </row>
    <row r="298" spans="1:6" x14ac:dyDescent="0.2">
      <c r="A298">
        <f>A297+'Inputs &amp; Outputs'!$B$6</f>
        <v>7.4392914037006754</v>
      </c>
      <c r="B298">
        <f>Calculations!$A$3*SIN(SQRT('Inputs &amp; Outputs'!$B$4/'Inputs &amp; Outputs'!$B$5)*A298+Calculations!$A$7)</f>
        <v>-6.0462108539585628</v>
      </c>
      <c r="C298">
        <f>SQRT('Inputs &amp; Outputs'!$B$4/'Inputs &amp; Outputs'!$B$5)*Calculations!$A$3*COS(SQRT('Inputs &amp; Outputs'!$B$4/'Inputs &amp; Outputs'!$B$5)*A298+Calculations!$A$7)</f>
        <v>-2.8037178134342295</v>
      </c>
      <c r="D298">
        <f>1/2*'Inputs &amp; Outputs'!$B$5*'Analytical Steps'!C298^2</f>
        <v>78.608335773684175</v>
      </c>
      <c r="E298">
        <f>1/2*'Inputs &amp; Outputs'!$B$4*'Analytical Steps'!B298^2</f>
        <v>91.391664226315839</v>
      </c>
      <c r="F298">
        <f t="shared" si="4"/>
        <v>170</v>
      </c>
    </row>
    <row r="299" spans="1:6" x14ac:dyDescent="0.2">
      <c r="A299">
        <f>A298+'Inputs &amp; Outputs'!$B$6</f>
        <v>7.464424144929394</v>
      </c>
      <c r="B299">
        <f>Calculations!$A$3*SIN(SQRT('Inputs &amp; Outputs'!$B$4/'Inputs &amp; Outputs'!$B$5)*A299+Calculations!$A$7)</f>
        <v>-6.1161967302972551</v>
      </c>
      <c r="C299">
        <f>SQRT('Inputs &amp; Outputs'!$B$4/'Inputs &amp; Outputs'!$B$5)*Calculations!$A$3*COS(SQRT('Inputs &amp; Outputs'!$B$4/'Inputs &amp; Outputs'!$B$5)*A299+Calculations!$A$7)</f>
        <v>-2.7655079802949931</v>
      </c>
      <c r="D299">
        <f>1/2*'Inputs &amp; Outputs'!$B$5*'Analytical Steps'!C299^2</f>
        <v>76.48034389075292</v>
      </c>
      <c r="E299">
        <f>1/2*'Inputs &amp; Outputs'!$B$4*'Analytical Steps'!B299^2</f>
        <v>93.51965610924708</v>
      </c>
      <c r="F299">
        <f t="shared" si="4"/>
        <v>170</v>
      </c>
    </row>
    <row r="300" spans="1:6" x14ac:dyDescent="0.2">
      <c r="A300">
        <f>A299+'Inputs &amp; Outputs'!$B$6</f>
        <v>7.4895568861581125</v>
      </c>
      <c r="B300">
        <f>Calculations!$A$3*SIN(SQRT('Inputs &amp; Outputs'!$B$4/'Inputs &amp; Outputs'!$B$5)*A300+Calculations!$A$7)</f>
        <v>-6.1852167882710312</v>
      </c>
      <c r="C300">
        <f>SQRT('Inputs &amp; Outputs'!$B$4/'Inputs &amp; Outputs'!$B$5)*Calculations!$A$3*COS(SQRT('Inputs &amp; Outputs'!$B$4/'Inputs &amp; Outputs'!$B$5)*A300+Calculations!$A$7)</f>
        <v>-2.7268614413868826</v>
      </c>
      <c r="D300">
        <f>1/2*'Inputs &amp; Outputs'!$B$5*'Analytical Steps'!C300^2</f>
        <v>74.357733205225458</v>
      </c>
      <c r="E300">
        <f>1/2*'Inputs &amp; Outputs'!$B$4*'Analytical Steps'!B300^2</f>
        <v>95.642266794774514</v>
      </c>
      <c r="F300">
        <f t="shared" si="4"/>
        <v>169.99999999999997</v>
      </c>
    </row>
    <row r="301" spans="1:6" x14ac:dyDescent="0.2">
      <c r="A301">
        <f>A300+'Inputs &amp; Outputs'!$B$6</f>
        <v>7.5146896273868311</v>
      </c>
      <c r="B301">
        <f>Calculations!$A$3*SIN(SQRT('Inputs &amp; Outputs'!$B$4/'Inputs &amp; Outputs'!$B$5)*A301+Calculations!$A$7)</f>
        <v>-6.2532601288126317</v>
      </c>
      <c r="C301">
        <f>SQRT('Inputs &amp; Outputs'!$B$4/'Inputs &amp; Outputs'!$B$5)*Calculations!$A$3*COS(SQRT('Inputs &amp; Outputs'!$B$4/'Inputs &amp; Outputs'!$B$5)*A301+Calculations!$A$7)</f>
        <v>-2.6877842994463967</v>
      </c>
      <c r="D301">
        <f>1/2*'Inputs &amp; Outputs'!$B$5*'Analytical Steps'!C301^2</f>
        <v>72.241844403505581</v>
      </c>
      <c r="E301">
        <f>1/2*'Inputs &amp; Outputs'!$B$4*'Analytical Steps'!B301^2</f>
        <v>97.758155596494433</v>
      </c>
      <c r="F301">
        <f t="shared" si="4"/>
        <v>170</v>
      </c>
    </row>
    <row r="302" spans="1:6" x14ac:dyDescent="0.2">
      <c r="A302">
        <f>A301+'Inputs &amp; Outputs'!$B$6</f>
        <v>7.5398223686155497</v>
      </c>
      <c r="B302">
        <f>Calculations!$A$3*SIN(SQRT('Inputs &amp; Outputs'!$B$4/'Inputs &amp; Outputs'!$B$5)*A302+Calculations!$A$7)</f>
        <v>-6.3203160070898017</v>
      </c>
      <c r="C302">
        <f>SQRT('Inputs &amp; Outputs'!$B$4/'Inputs &amp; Outputs'!$B$5)*Calculations!$A$3*COS(SQRT('Inputs &amp; Outputs'!$B$4/'Inputs &amp; Outputs'!$B$5)*A302+Calculations!$A$7)</f>
        <v>-2.6482827252072436</v>
      </c>
      <c r="D302">
        <f>1/2*'Inputs &amp; Outputs'!$B$5*'Analytical Steps'!C302^2</f>
        <v>70.134013926311056</v>
      </c>
      <c r="E302">
        <f>1/2*'Inputs &amp; Outputs'!$B$4*'Analytical Steps'!B302^2</f>
        <v>99.86598607368893</v>
      </c>
      <c r="F302">
        <f t="shared" si="4"/>
        <v>170</v>
      </c>
    </row>
    <row r="303" spans="1:6" x14ac:dyDescent="0.2">
      <c r="A303">
        <f>A302+'Inputs &amp; Outputs'!$B$6</f>
        <v>7.5649551098442682</v>
      </c>
      <c r="B303">
        <f>Calculations!$A$3*SIN(SQRT('Inputs &amp; Outputs'!$B$4/'Inputs &amp; Outputs'!$B$5)*A303+Calculations!$A$7)</f>
        <v>-6.3863738342020246</v>
      </c>
      <c r="C303">
        <f>SQRT('Inputs &amp; Outputs'!$B$4/'Inputs &amp; Outputs'!$B$5)*Calculations!$A$3*COS(SQRT('Inputs &amp; Outputs'!$B$4/'Inputs &amp; Outputs'!$B$5)*A303+Calculations!$A$7)</f>
        <v>-2.6083629564259136</v>
      </c>
      <c r="D303">
        <f>1/2*'Inputs &amp; Outputs'!$B$5*'Analytical Steps'!C303^2</f>
        <v>68.03557312454933</v>
      </c>
      <c r="E303">
        <f>1/2*'Inputs &amp; Outputs'!$B$4*'Analytical Steps'!B303^2</f>
        <v>101.96442687545067</v>
      </c>
      <c r="F303">
        <f t="shared" si="4"/>
        <v>170</v>
      </c>
    </row>
    <row r="304" spans="1:6" x14ac:dyDescent="0.2">
      <c r="A304">
        <f>A303+'Inputs &amp; Outputs'!$B$6</f>
        <v>7.5900878510729868</v>
      </c>
      <c r="B304">
        <f>Calculations!$A$3*SIN(SQRT('Inputs &amp; Outputs'!$B$4/'Inputs &amp; Outputs'!$B$5)*A304+Calculations!$A$7)</f>
        <v>-6.4514231788526324</v>
      </c>
      <c r="C304">
        <f>SQRT('Inputs &amp; Outputs'!$B$4/'Inputs &amp; Outputs'!$B$5)*Calculations!$A$3*COS(SQRT('Inputs &amp; Outputs'!$B$4/'Inputs &amp; Outputs'!$B$5)*A304+Calculations!$A$7)</f>
        <v>-2.568031296896661</v>
      </c>
      <c r="D304">
        <f>1/2*'Inputs &amp; Outputs'!$B$5*'Analytical Steps'!C304^2</f>
        <v>65.947847418407463</v>
      </c>
      <c r="E304">
        <f>1/2*'Inputs &amp; Outputs'!$B$4*'Analytical Steps'!B304^2</f>
        <v>104.05215258159251</v>
      </c>
      <c r="F304">
        <f t="shared" si="4"/>
        <v>169.99999999999997</v>
      </c>
    </row>
    <row r="305" spans="1:6" x14ac:dyDescent="0.2">
      <c r="A305">
        <f>A304+'Inputs &amp; Outputs'!$B$6</f>
        <v>7.6152205923017053</v>
      </c>
      <c r="B305">
        <f>Calculations!$A$3*SIN(SQRT('Inputs &amp; Outputs'!$B$4/'Inputs &amp; Outputs'!$B$5)*A305+Calculations!$A$7)</f>
        <v>-6.5154537689960312</v>
      </c>
      <c r="C305">
        <f>SQRT('Inputs &amp; Outputs'!$B$4/'Inputs &amp; Outputs'!$B$5)*Calculations!$A$3*COS(SQRT('Inputs &amp; Outputs'!$B$4/'Inputs &amp; Outputs'!$B$5)*A305+Calculations!$A$7)</f>
        <v>-2.5272941154560651</v>
      </c>
      <c r="D305">
        <f>1/2*'Inputs &amp; Outputs'!$B$5*'Analytical Steps'!C305^2</f>
        <v>63.872155460188544</v>
      </c>
      <c r="E305">
        <f>1/2*'Inputs &amp; Outputs'!$B$4*'Analytical Steps'!B305^2</f>
        <v>106.12784453981148</v>
      </c>
      <c r="F305">
        <f t="shared" si="4"/>
        <v>170.00000000000003</v>
      </c>
    </row>
    <row r="306" spans="1:6" x14ac:dyDescent="0.2">
      <c r="A306">
        <f>A305+'Inputs &amp; Outputs'!$B$6</f>
        <v>7.6403533335304239</v>
      </c>
      <c r="B306">
        <f>Calculations!$A$3*SIN(SQRT('Inputs &amp; Outputs'!$B$4/'Inputs &amp; Outputs'!$B$5)*A306+Calculations!$A$7)</f>
        <v>-6.5784554934597672</v>
      </c>
      <c r="C306">
        <f>SQRT('Inputs &amp; Outputs'!$B$4/'Inputs &amp; Outputs'!$B$5)*Calculations!$A$3*COS(SQRT('Inputs &amp; Outputs'!$B$4/'Inputs &amp; Outputs'!$B$5)*A306+Calculations!$A$7)</f>
        <v>-2.4861578449773161</v>
      </c>
      <c r="D306">
        <f>1/2*'Inputs &amp; Outputs'!$B$5*'Analytical Steps'!C306^2</f>
        <v>61.809808301422528</v>
      </c>
      <c r="E306">
        <f>1/2*'Inputs &amp; Outputs'!$B$4*'Analytical Steps'!B306^2</f>
        <v>108.19019169857746</v>
      </c>
      <c r="F306">
        <f t="shared" si="4"/>
        <v>170</v>
      </c>
    </row>
    <row r="307" spans="1:6" x14ac:dyDescent="0.2">
      <c r="A307">
        <f>A306+'Inputs &amp; Outputs'!$B$6</f>
        <v>7.6654860747591425</v>
      </c>
      <c r="B307">
        <f>Calculations!$A$3*SIN(SQRT('Inputs &amp; Outputs'!$B$4/'Inputs &amp; Outputs'!$B$5)*A307+Calculations!$A$7)</f>
        <v>-6.6404184035412115</v>
      </c>
      <c r="C307">
        <f>SQRT('Inputs &amp; Outputs'!$B$4/'Inputs &amp; Outputs'!$B$5)*Calculations!$A$3*COS(SQRT('Inputs &amp; Outputs'!$B$4/'Inputs &amp; Outputs'!$B$5)*A307+Calculations!$A$7)</f>
        <v>-2.4446289813543891</v>
      </c>
      <c r="D307">
        <f>1/2*'Inputs &amp; Outputs'!$B$5*'Analytical Steps'!C307^2</f>
        <v>59.762108564777982</v>
      </c>
      <c r="E307">
        <f>1/2*'Inputs &amp; Outputs'!$B$4*'Analytical Steps'!B307^2</f>
        <v>110.23789143522202</v>
      </c>
      <c r="F307">
        <f t="shared" si="4"/>
        <v>170</v>
      </c>
    </row>
    <row r="308" spans="1:6" x14ac:dyDescent="0.2">
      <c r="A308">
        <f>A307+'Inputs &amp; Outputs'!$B$6</f>
        <v>7.690618815987861</v>
      </c>
      <c r="B308">
        <f>Calculations!$A$3*SIN(SQRT('Inputs &amp; Outputs'!$B$4/'Inputs &amp; Outputs'!$B$5)*A308+Calculations!$A$7)</f>
        <v>-6.7013327145785642</v>
      </c>
      <c r="C308">
        <f>SQRT('Inputs &amp; Outputs'!$B$4/'Inputs &amp; Outputs'!$B$5)*Calculations!$A$3*COS(SQRT('Inputs &amp; Outputs'!$B$4/'Inputs &amp; Outputs'!$B$5)*A308+Calculations!$A$7)</f>
        <v>-2.4027140824762681</v>
      </c>
      <c r="D308">
        <f>1/2*'Inputs &amp; Outputs'!$B$5*'Analytical Steps'!C308^2</f>
        <v>57.730349621297748</v>
      </c>
      <c r="E308">
        <f>1/2*'Inputs &amp; Outputs'!$B$4*'Analytical Steps'!B308^2</f>
        <v>112.26965037870228</v>
      </c>
      <c r="F308">
        <f t="shared" si="4"/>
        <v>170.00000000000003</v>
      </c>
    </row>
    <row r="309" spans="1:6" x14ac:dyDescent="0.2">
      <c r="A309">
        <f>A308+'Inputs &amp; Outputs'!$B$6</f>
        <v>7.7157515572165796</v>
      </c>
      <c r="B309">
        <f>Calculations!$A$3*SIN(SQRT('Inputs &amp; Outputs'!$B$4/'Inputs &amp; Outputs'!$B$5)*A309+Calculations!$A$7)</f>
        <v>-6.7611888074959721</v>
      </c>
      <c r="C309">
        <f>SQRT('Inputs &amp; Outputs'!$B$4/'Inputs &amp; Outputs'!$B$5)*Calculations!$A$3*COS(SQRT('Inputs &amp; Outputs'!$B$4/'Inputs &amp; Outputs'!$B$5)*A309+Calculations!$A$7)</f>
        <v>-2.3604197671913782</v>
      </c>
      <c r="D309">
        <f>1/2*'Inputs &amp; Outputs'!$B$5*'Analytical Steps'!C309^2</f>
        <v>55.715814773478002</v>
      </c>
      <c r="E309">
        <f>1/2*'Inputs &amp; Outputs'!$B$4*'Analytical Steps'!B309^2</f>
        <v>114.28418522652201</v>
      </c>
      <c r="F309">
        <f t="shared" si="4"/>
        <v>170</v>
      </c>
    </row>
    <row r="310" spans="1:6" x14ac:dyDescent="0.2">
      <c r="A310">
        <f>A309+'Inputs &amp; Outputs'!$B$6</f>
        <v>7.7408842984452981</v>
      </c>
      <c r="B310">
        <f>Calculations!$A$3*SIN(SQRT('Inputs &amp; Outputs'!$B$4/'Inputs &amp; Outputs'!$B$5)*A310+Calculations!$A$7)</f>
        <v>-6.8199772303224879</v>
      </c>
      <c r="C310">
        <f>SQRT('Inputs &amp; Outputs'!$B$4/'Inputs &amp; Outputs'!$B$5)*Calculations!$A$3*COS(SQRT('Inputs &amp; Outputs'!$B$4/'Inputs &amp; Outputs'!$B$5)*A310+Calculations!$A$7)</f>
        <v>-2.3177527142623955</v>
      </c>
      <c r="D310">
        <f>1/2*'Inputs &amp; Outputs'!$B$5*'Analytical Steps'!C310^2</f>
        <v>53.719776444707023</v>
      </c>
      <c r="E310">
        <f>1/2*'Inputs &amp; Outputs'!$B$4*'Analytical Steps'!B310^2</f>
        <v>116.28022355529298</v>
      </c>
      <c r="F310">
        <f t="shared" si="4"/>
        <v>170</v>
      </c>
    </row>
    <row r="311" spans="1:6" x14ac:dyDescent="0.2">
      <c r="A311">
        <f>A310+'Inputs &amp; Outputs'!$B$6</f>
        <v>7.7660170396740167</v>
      </c>
      <c r="B311">
        <f>Calculations!$A$3*SIN(SQRT('Inputs &amp; Outputs'!$B$4/'Inputs &amp; Outputs'!$B$5)*A311+Calculations!$A$7)</f>
        <v>-6.8776886996846525</v>
      </c>
      <c r="C311">
        <f>SQRT('Inputs &amp; Outputs'!$B$4/'Inputs &amp; Outputs'!$B$5)*Calculations!$A$3*COS(SQRT('Inputs &amp; Outputs'!$B$4/'Inputs &amp; Outputs'!$B$5)*A311+Calculations!$A$7)</f>
        <v>-2.2747196613115888</v>
      </c>
      <c r="D311">
        <f>1/2*'Inputs &amp; Outputs'!$B$5*'Analytical Steps'!C311^2</f>
        <v>51.743495375575094</v>
      </c>
      <c r="E311">
        <f>1/2*'Inputs &amp; Outputs'!$B$4*'Analytical Steps'!B311^2</f>
        <v>118.25650462442491</v>
      </c>
      <c r="F311">
        <f t="shared" si="4"/>
        <v>170</v>
      </c>
    </row>
    <row r="312" spans="1:6" x14ac:dyDescent="0.2">
      <c r="A312">
        <f>A311+'Inputs &amp; Outputs'!$B$6</f>
        <v>7.7911497809027352</v>
      </c>
      <c r="B312">
        <f>Calculations!$A$3*SIN(SQRT('Inputs &amp; Outputs'!$B$4/'Inputs &amp; Outputs'!$B$5)*A312+Calculations!$A$7)</f>
        <v>-6.9343141022724399</v>
      </c>
      <c r="C312">
        <f>SQRT('Inputs &amp; Outputs'!$B$4/'Inputs &amp; Outputs'!$B$5)*Calculations!$A$3*COS(SQRT('Inputs &amp; Outputs'!$B$4/'Inputs &amp; Outputs'!$B$5)*A312+Calculations!$A$7)</f>
        <v>-2.231327403756874</v>
      </c>
      <c r="D312">
        <f>1/2*'Inputs &amp; Outputs'!$B$5*'Analytical Steps'!C312^2</f>
        <v>49.788219827563921</v>
      </c>
      <c r="E312">
        <f>1/2*'Inputs &amp; Outputs'!$B$4*'Analytical Steps'!B312^2</f>
        <v>120.21178017243608</v>
      </c>
      <c r="F312">
        <f t="shared" si="4"/>
        <v>170</v>
      </c>
    </row>
    <row r="313" spans="1:6" x14ac:dyDescent="0.2">
      <c r="A313">
        <f>A312+'Inputs &amp; Outputs'!$B$6</f>
        <v>7.8162825221314538</v>
      </c>
      <c r="B313">
        <f>Calculations!$A$3*SIN(SQRT('Inputs &amp; Outputs'!$B$4/'Inputs &amp; Outputs'!$B$5)*A313+Calculations!$A$7)</f>
        <v>-6.9898444962783595</v>
      </c>
      <c r="C313">
        <f>SQRT('Inputs &amp; Outputs'!$B$4/'Inputs &amp; Outputs'!$B$5)*Calculations!$A$3*COS(SQRT('Inputs &amp; Outputs'!$B$4/'Inputs &amp; Outputs'!$B$5)*A313+Calculations!$A$7)</f>
        <v>-2.1875827937387382</v>
      </c>
      <c r="D313">
        <f>1/2*'Inputs &amp; Outputs'!$B$5*'Analytical Steps'!C313^2</f>
        <v>47.855184794617827</v>
      </c>
      <c r="E313">
        <f>1/2*'Inputs &amp; Outputs'!$B$4*'Analytical Steps'!B313^2</f>
        <v>122.14481520538217</v>
      </c>
      <c r="F313">
        <f t="shared" si="4"/>
        <v>170</v>
      </c>
    </row>
    <row r="314" spans="1:6" x14ac:dyDescent="0.2">
      <c r="A314">
        <f>A313+'Inputs &amp; Outputs'!$B$6</f>
        <v>7.8414152633601724</v>
      </c>
      <c r="B314">
        <f>Calculations!$A$3*SIN(SQRT('Inputs &amp; Outputs'!$B$4/'Inputs &amp; Outputs'!$B$5)*A314+Calculations!$A$7)</f>
        <v>-7.0442711128094686</v>
      </c>
      <c r="C314">
        <f>SQRT('Inputs &amp; Outputs'!$B$4/'Inputs &amp; Outputs'!$B$5)*Calculations!$A$3*COS(SQRT('Inputs &amp; Outputs'!$B$4/'Inputs &amp; Outputs'!$B$5)*A314+Calculations!$A$7)</f>
        <v>-2.1434927390382064</v>
      </c>
      <c r="D314">
        <f>1/2*'Inputs &amp; Outputs'!$B$5*'Analytical Steps'!C314^2</f>
        <v>45.945611223095128</v>
      </c>
      <c r="E314">
        <f>1/2*'Inputs &amp; Outputs'!$B$4*'Analytical Steps'!B314^2</f>
        <v>124.05438877690487</v>
      </c>
      <c r="F314">
        <f t="shared" si="4"/>
        <v>170</v>
      </c>
    </row>
    <row r="315" spans="1:6" x14ac:dyDescent="0.2">
      <c r="A315">
        <f>A314+'Inputs &amp; Outputs'!$B$6</f>
        <v>7.8665480045888909</v>
      </c>
      <c r="B315">
        <f>Calculations!$A$3*SIN(SQRT('Inputs &amp; Outputs'!$B$4/'Inputs &amp; Outputs'!$B$5)*A315+Calculations!$A$7)</f>
        <v>-7.0975853572720844</v>
      </c>
      <c r="C315">
        <f>SQRT('Inputs &amp; Outputs'!$B$4/'Inputs &amp; Outputs'!$B$5)*Calculations!$A$3*COS(SQRT('Inputs &amp; Outputs'!$B$4/'Inputs &amp; Outputs'!$B$5)*A315+Calculations!$A$7)</f>
        <v>-2.0990642019860246</v>
      </c>
      <c r="D315">
        <f>1/2*'Inputs &amp; Outputs'!$B$5*'Analytical Steps'!C315^2</f>
        <v>44.060705240592256</v>
      </c>
      <c r="E315">
        <f>1/2*'Inputs &amp; Outputs'!$B$4*'Analytical Steps'!B315^2</f>
        <v>125.93929475940776</v>
      </c>
      <c r="F315">
        <f t="shared" si="4"/>
        <v>170</v>
      </c>
    </row>
    <row r="316" spans="1:6" x14ac:dyDescent="0.2">
      <c r="A316">
        <f>A315+'Inputs &amp; Outputs'!$B$6</f>
        <v>7.8916807458176095</v>
      </c>
      <c r="B316">
        <f>Calculations!$A$3*SIN(SQRT('Inputs &amp; Outputs'!$B$4/'Inputs &amp; Outputs'!$B$5)*A316+Calculations!$A$7)</f>
        <v>-7.1497788107289653</v>
      </c>
      <c r="C316">
        <f>SQRT('Inputs &amp; Outputs'!$B$4/'Inputs &amp; Outputs'!$B$5)*Calculations!$A$3*COS(SQRT('Inputs &amp; Outputs'!$B$4/'Inputs &amp; Outputs'!$B$5)*A316+Calculations!$A$7)</f>
        <v>-2.0543041983632255</v>
      </c>
      <c r="D316">
        <f>1/2*'Inputs &amp; Outputs'!$B$5*'Analytical Steps'!C316^2</f>
        <v>42.201657394127743</v>
      </c>
      <c r="E316">
        <f>1/2*'Inputs &amp; Outputs'!$B$4*'Analytical Steps'!B316^2</f>
        <v>127.79834260587224</v>
      </c>
      <c r="F316">
        <f t="shared" si="4"/>
        <v>169.99999999999997</v>
      </c>
    </row>
    <row r="317" spans="1:6" x14ac:dyDescent="0.2">
      <c r="A317">
        <f>A316+'Inputs &amp; Outputs'!$B$6</f>
        <v>7.916813487046328</v>
      </c>
      <c r="B317">
        <f>Calculations!$A$3*SIN(SQRT('Inputs &amp; Outputs'!$B$4/'Inputs &amp; Outputs'!$B$5)*A317+Calculations!$A$7)</f>
        <v>-7.2008432312287685</v>
      </c>
      <c r="C317">
        <f>SQRT('Inputs &amp; Outputs'!$B$4/'Inputs &amp; Outputs'!$B$5)*Calculations!$A$3*COS(SQRT('Inputs &amp; Outputs'!$B$4/'Inputs &amp; Outputs'!$B$5)*A317+Calculations!$A$7)</f>
        <v>-2.0092197962932548</v>
      </c>
      <c r="D317">
        <f>1/2*'Inputs &amp; Outputs'!$B$5*'Analytical Steps'!C317^2</f>
        <v>40.369641898167082</v>
      </c>
      <c r="E317">
        <f>1/2*'Inputs &amp; Outputs'!$B$4*'Analytical Steps'!B317^2</f>
        <v>129.63035810183294</v>
      </c>
      <c r="F317">
        <f t="shared" si="4"/>
        <v>170.00000000000003</v>
      </c>
    </row>
    <row r="318" spans="1:6" x14ac:dyDescent="0.2">
      <c r="A318">
        <f>A317+'Inputs &amp; Outputs'!$B$6</f>
        <v>7.9419462282750466</v>
      </c>
      <c r="B318">
        <f>Calculations!$A$3*SIN(SQRT('Inputs &amp; Outputs'!$B$4/'Inputs &amp; Outputs'!$B$5)*A318+Calculations!$A$7)</f>
        <v>-7.250770555107537</v>
      </c>
      <c r="C318">
        <f>SQRT('Inputs &amp; Outputs'!$B$4/'Inputs &amp; Outputs'!$B$5)*Calculations!$A$3*COS(SQRT('Inputs &amp; Outputs'!$B$4/'Inputs &amp; Outputs'!$B$5)*A318+Calculations!$A$7)</f>
        <v>-1.9638181151258343</v>
      </c>
      <c r="D318">
        <f>1/2*'Inputs &amp; Outputs'!$B$5*'Analytical Steps'!C318^2</f>
        <v>38.56581589296384</v>
      </c>
      <c r="E318">
        <f>1/2*'Inputs &amp; Outputs'!$B$4*'Analytical Steps'!B318^2</f>
        <v>131.43418410703615</v>
      </c>
      <c r="F318">
        <f t="shared" si="4"/>
        <v>170</v>
      </c>
    </row>
    <row r="319" spans="1:6" x14ac:dyDescent="0.2">
      <c r="A319">
        <f>A318+'Inputs &amp; Outputs'!$B$6</f>
        <v>7.9670789695037652</v>
      </c>
      <c r="B319">
        <f>Calculations!$A$3*SIN(SQRT('Inputs &amp; Outputs'!$B$4/'Inputs &amp; Outputs'!$B$5)*A319+Calculations!$A$7)</f>
        <v>-7.2995528982620552</v>
      </c>
      <c r="C319">
        <f>SQRT('Inputs &amp; Outputs'!$B$4/'Inputs &amp; Outputs'!$B$5)*Calculations!$A$3*COS(SQRT('Inputs &amp; Outputs'!$B$4/'Inputs &amp; Outputs'!$B$5)*A319+Calculations!$A$7)</f>
        <v>-1.9181063243127339</v>
      </c>
      <c r="D319">
        <f>1/2*'Inputs &amp; Outputs'!$B$5*'Analytical Steps'!C319^2</f>
        <v>36.791318713685065</v>
      </c>
      <c r="E319">
        <f>1/2*'Inputs &amp; Outputs'!$B$4*'Analytical Steps'!B319^2</f>
        <v>133.20868128631491</v>
      </c>
      <c r="F319">
        <f t="shared" si="4"/>
        <v>169.99999999999997</v>
      </c>
    </row>
    <row r="320" spans="1:6" x14ac:dyDescent="0.2">
      <c r="A320">
        <f>A319+'Inputs &amp; Outputs'!$B$6</f>
        <v>7.9922117107324837</v>
      </c>
      <c r="B320">
        <f>Calculations!$A$3*SIN(SQRT('Inputs &amp; Outputs'!$B$4/'Inputs &amp; Outputs'!$B$5)*A320+Calculations!$A$7)</f>
        <v>-7.3471825573948371</v>
      </c>
      <c r="C320">
        <f>SQRT('Inputs &amp; Outputs'!$B$4/'Inputs &amp; Outputs'!$B$5)*Calculations!$A$3*COS(SQRT('Inputs &amp; Outputs'!$B$4/'Inputs &amp; Outputs'!$B$5)*A320+Calculations!$A$7)</f>
        <v>-1.8720916422756304</v>
      </c>
      <c r="D320">
        <f>1/2*'Inputs &amp; Outputs'!$B$5*'Analytical Steps'!C320^2</f>
        <v>35.047271170782672</v>
      </c>
      <c r="E320">
        <f>1/2*'Inputs &amp; Outputs'!$B$4*'Analytical Steps'!B320^2</f>
        <v>134.95272882921734</v>
      </c>
      <c r="F320">
        <f t="shared" si="4"/>
        <v>170</v>
      </c>
    </row>
    <row r="321" spans="1:6" x14ac:dyDescent="0.2">
      <c r="A321">
        <f>A320+'Inputs &amp; Outputs'!$B$6</f>
        <v>8.0173444519612023</v>
      </c>
      <c r="B321">
        <f>Calculations!$A$3*SIN(SQRT('Inputs &amp; Outputs'!$B$4/'Inputs &amp; Outputs'!$B$5)*A321+Calculations!$A$7)</f>
        <v>-7.3936520112305626</v>
      </c>
      <c r="C321">
        <f>SQRT('Inputs &amp; Outputs'!$B$4/'Inputs &amp; Outputs'!$B$5)*Calculations!$A$3*COS(SQRT('Inputs &amp; Outputs'!$B$4/'Inputs &amp; Outputs'!$B$5)*A321+Calculations!$A$7)</f>
        <v>-1.8257813352662369</v>
      </c>
      <c r="D321">
        <f>1/2*'Inputs &amp; Outputs'!$B$5*'Analytical Steps'!C321^2</f>
        <v>33.334774842065627</v>
      </c>
      <c r="E321">
        <f>1/2*'Inputs &amp; Outputs'!$B$4*'Analytical Steps'!B321^2</f>
        <v>136.66522515793434</v>
      </c>
      <c r="F321">
        <f t="shared" si="4"/>
        <v>169.99999999999997</v>
      </c>
    </row>
    <row r="322" spans="1:6" x14ac:dyDescent="0.2">
      <c r="A322">
        <f>A321+'Inputs &amp; Outputs'!$B$6</f>
        <v>8.0424771931899208</v>
      </c>
      <c r="B322">
        <f>Calculations!$A$3*SIN(SQRT('Inputs &amp; Outputs'!$B$4/'Inputs &amp; Outputs'!$B$5)*A322+Calculations!$A$7)</f>
        <v>-7.4389539217037823</v>
      </c>
      <c r="C322">
        <f>SQRT('Inputs &amp; Outputs'!$B$4/'Inputs &amp; Outputs'!$B$5)*Calculations!$A$3*COS(SQRT('Inputs &amp; Outputs'!$B$4/'Inputs &amp; Outputs'!$B$5)*A322+Calculations!$A$7)</f>
        <v>-1.779182716218876</v>
      </c>
      <c r="D322">
        <f>1/2*'Inputs &amp; Outputs'!$B$5*'Analytical Steps'!C322^2</f>
        <v>31.654911376919777</v>
      </c>
      <c r="E322">
        <f>1/2*'Inputs &amp; Outputs'!$B$4*'Analytical Steps'!B322^2</f>
        <v>138.34508862308019</v>
      </c>
      <c r="F322">
        <f t="shared" si="4"/>
        <v>169.99999999999997</v>
      </c>
    </row>
    <row r="323" spans="1:6" x14ac:dyDescent="0.2">
      <c r="A323">
        <f>A322+'Inputs &amp; Outputs'!$B$6</f>
        <v>8.0676099344186394</v>
      </c>
      <c r="B323">
        <f>Calculations!$A$3*SIN(SQRT('Inputs &amp; Outputs'!$B$4/'Inputs &amp; Outputs'!$B$5)*A323+Calculations!$A$7)</f>
        <v>-7.4830811351176765</v>
      </c>
      <c r="C323">
        <f>SQRT('Inputs &amp; Outputs'!$B$4/'Inputs &amp; Outputs'!$B$5)*Calculations!$A$3*COS(SQRT('Inputs &amp; Outputs'!$B$4/'Inputs &amp; Outputs'!$B$5)*A323+Calculations!$A$7)</f>
        <v>-1.7323031435956839</v>
      </c>
      <c r="D323">
        <f>1/2*'Inputs &amp; Outputs'!$B$5*'Analytical Steps'!C323^2</f>
        <v>30.008741813114888</v>
      </c>
      <c r="E323">
        <f>1/2*'Inputs &amp; Outputs'!$B$4*'Analytical Steps'!B323^2</f>
        <v>139.99125818688515</v>
      </c>
      <c r="F323">
        <f t="shared" ref="F323:F386" si="5">SUM(D323:E323)</f>
        <v>170.00000000000003</v>
      </c>
    </row>
    <row r="324" spans="1:6" x14ac:dyDescent="0.2">
      <c r="A324">
        <f>A323+'Inputs &amp; Outputs'!$B$6</f>
        <v>8.0927426756473579</v>
      </c>
      <c r="B324">
        <f>Calculations!$A$3*SIN(SQRT('Inputs &amp; Outputs'!$B$4/'Inputs &amp; Outputs'!$B$5)*A324+Calculations!$A$7)</f>
        <v>-7.5260266832737059</v>
      </c>
      <c r="C324">
        <f>SQRT('Inputs &amp; Outputs'!$B$4/'Inputs &amp; Outputs'!$B$5)*Calculations!$A$3*COS(SQRT('Inputs &amp; Outputs'!$B$4/'Inputs &amp; Outputs'!$B$5)*A324+Calculations!$A$7)</f>
        <v>-1.6851500202246232</v>
      </c>
      <c r="D324">
        <f>1/2*'Inputs &amp; Outputs'!$B$5*'Analytical Steps'!C324^2</f>
        <v>28.397305906630482</v>
      </c>
      <c r="E324">
        <f>1/2*'Inputs &amp; Outputs'!$B$4*'Analytical Steps'!B324^2</f>
        <v>141.60269409336956</v>
      </c>
      <c r="F324">
        <f t="shared" si="5"/>
        <v>170.00000000000006</v>
      </c>
    </row>
    <row r="325" spans="1:6" x14ac:dyDescent="0.2">
      <c r="A325">
        <f>A324+'Inputs &amp; Outputs'!$B$6</f>
        <v>8.1178754168760765</v>
      </c>
      <c r="B325">
        <f>Calculations!$A$3*SIN(SQRT('Inputs &amp; Outputs'!$B$4/'Inputs &amp; Outputs'!$B$5)*A325+Calculations!$A$7)</f>
        <v>-7.5677837845719766</v>
      </c>
      <c r="C325">
        <f>SQRT('Inputs &amp; Outputs'!$B$4/'Inputs &amp; Outputs'!$B$5)*Calculations!$A$3*COS(SQRT('Inputs &amp; Outputs'!$B$4/'Inputs &amp; Outputs'!$B$5)*A325+Calculations!$A$7)</f>
        <v>-1.63773079213049</v>
      </c>
      <c r="D325">
        <f>1/2*'Inputs &amp; Outputs'!$B$5*'Analytical Steps'!C325^2</f>
        <v>26.821621474923624</v>
      </c>
      <c r="E325">
        <f>1/2*'Inputs &amp; Outputs'!$B$4*'Analytical Steps'!B325^2</f>
        <v>143.17837852507637</v>
      </c>
      <c r="F325">
        <f t="shared" si="5"/>
        <v>170</v>
      </c>
    </row>
    <row r="326" spans="1:6" x14ac:dyDescent="0.2">
      <c r="A326">
        <f>A325+'Inputs &amp; Outputs'!$B$6</f>
        <v>8.1430081581047951</v>
      </c>
      <c r="B326">
        <f>Calculations!$A$3*SIN(SQRT('Inputs &amp; Outputs'!$B$4/'Inputs &amp; Outputs'!$B$5)*A326+Calculations!$A$7)</f>
        <v>-7.6083458450821322</v>
      </c>
      <c r="C326">
        <f>SQRT('Inputs &amp; Outputs'!$B$4/'Inputs &amp; Outputs'!$B$5)*Calculations!$A$3*COS(SQRT('Inputs &amp; Outputs'!$B$4/'Inputs &amp; Outputs'!$B$5)*A326+Calculations!$A$7)</f>
        <v>-1.5900529473591019</v>
      </c>
      <c r="D326">
        <f>1/2*'Inputs &amp; Outputs'!$B$5*'Analytical Steps'!C326^2</f>
        <v>25.282683754053664</v>
      </c>
      <c r="E326">
        <f>1/2*'Inputs &amp; Outputs'!$B$4*'Analytical Steps'!B326^2</f>
        <v>144.71731624594636</v>
      </c>
      <c r="F326">
        <f t="shared" si="5"/>
        <v>170.00000000000003</v>
      </c>
    </row>
    <row r="327" spans="1:6" x14ac:dyDescent="0.2">
      <c r="A327">
        <f>A326+'Inputs &amp; Outputs'!$B$6</f>
        <v>8.1681408993335136</v>
      </c>
      <c r="B327">
        <f>Calculations!$A$3*SIN(SQRT('Inputs &amp; Outputs'!$B$4/'Inputs &amp; Outputs'!$B$5)*A327+Calculations!$A$7)</f>
        <v>-7.6477064595846054</v>
      </c>
      <c r="C327">
        <f>SQRT('Inputs &amp; Outputs'!$B$4/'Inputs &amp; Outputs'!$B$5)*Calculations!$A$3*COS(SQRT('Inputs &amp; Outputs'!$B$4/'Inputs &amp; Outputs'!$B$5)*A327+Calculations!$A$7)</f>
        <v>-1.542124014794847</v>
      </c>
      <c r="D327">
        <f>1/2*'Inputs &amp; Outputs'!$B$5*'Analytical Steps'!C327^2</f>
        <v>23.781464770069775</v>
      </c>
      <c r="E327">
        <f>1/2*'Inputs &amp; Outputs'!$B$4*'Analytical Steps'!B327^2</f>
        <v>146.21853522993024</v>
      </c>
      <c r="F327">
        <f t="shared" si="5"/>
        <v>170</v>
      </c>
    </row>
    <row r="328" spans="1:6" x14ac:dyDescent="0.2">
      <c r="A328">
        <f>A327+'Inputs &amp; Outputs'!$B$6</f>
        <v>8.1932736405622322</v>
      </c>
      <c r="B328">
        <f>Calculations!$A$3*SIN(SQRT('Inputs &amp; Outputs'!$B$4/'Inputs &amp; Outputs'!$B$5)*A328+Calculations!$A$7)</f>
        <v>-7.6858594125820838</v>
      </c>
      <c r="C328">
        <f>SQRT('Inputs &amp; Outputs'!$B$4/'Inputs &amp; Outputs'!$B$5)*Calculations!$A$3*COS(SQRT('Inputs &amp; Outputs'!$B$4/'Inputs &amp; Outputs'!$B$5)*A328+Calculations!$A$7)</f>
        <v>-1.4939515629717874</v>
      </c>
      <c r="D328">
        <f>1/2*'Inputs &amp; Outputs'!$B$5*'Analytical Steps'!C328^2</f>
        <v>22.318912725058464</v>
      </c>
      <c r="E328">
        <f>1/2*'Inputs &amp; Outputs'!$B$4*'Analytical Steps'!B328^2</f>
        <v>147.68108727494155</v>
      </c>
      <c r="F328">
        <f t="shared" si="5"/>
        <v>170</v>
      </c>
    </row>
    <row r="329" spans="1:6" x14ac:dyDescent="0.2">
      <c r="A329">
        <f>A328+'Inputs &amp; Outputs'!$B$6</f>
        <v>8.2184063817909507</v>
      </c>
      <c r="B329">
        <f>Calculations!$A$3*SIN(SQRT('Inputs &amp; Outputs'!$B$4/'Inputs &amp; Outputs'!$B$5)*A329+Calculations!$A$7)</f>
        <v>-7.7227986792810066</v>
      </c>
      <c r="C329">
        <f>SQRT('Inputs &amp; Outputs'!$B$4/'Inputs &amp; Outputs'!$B$5)*Calculations!$A$3*COS(SQRT('Inputs &amp; Outputs'!$B$4/'Inputs &amp; Outputs'!$B$5)*A329+Calculations!$A$7)</f>
        <v>-1.4455431988784986</v>
      </c>
      <c r="D329">
        <f>1/2*'Inputs &amp; Outputs'!$B$5*'Analytical Steps'!C329^2</f>
        <v>20.895951398238822</v>
      </c>
      <c r="E329">
        <f>1/2*'Inputs &amp; Outputs'!$B$4*'Analytical Steps'!B329^2</f>
        <v>149.10404860176115</v>
      </c>
      <c r="F329">
        <f t="shared" si="5"/>
        <v>169.99999999999997</v>
      </c>
    </row>
    <row r="330" spans="1:6" x14ac:dyDescent="0.2">
      <c r="A330">
        <f>A329+'Inputs &amp; Outputs'!$B$6</f>
        <v>8.2435391230196693</v>
      </c>
      <c r="B330">
        <f>Calculations!$A$3*SIN(SQRT('Inputs &amp; Outputs'!$B$4/'Inputs &amp; Outputs'!$B$5)*A330+Calculations!$A$7)</f>
        <v>-7.7585184265429499</v>
      </c>
      <c r="C330">
        <f>SQRT('Inputs &amp; Outputs'!$B$4/'Inputs &amp; Outputs'!$B$5)*Calculations!$A$3*COS(SQRT('Inputs &amp; Outputs'!$B$4/'Inputs &amp; Outputs'!$B$5)*A330+Calculations!$A$7)</f>
        <v>-1.3969065667568386</v>
      </c>
      <c r="D330">
        <f>1/2*'Inputs &amp; Outputs'!$B$5*'Analytical Steps'!C330^2</f>
        <v>19.513479562483777</v>
      </c>
      <c r="E330">
        <f>1/2*'Inputs &amp; Outputs'!$B$4*'Analytical Steps'!B330^2</f>
        <v>150.48652043751622</v>
      </c>
      <c r="F330">
        <f t="shared" si="5"/>
        <v>170</v>
      </c>
    </row>
    <row r="331" spans="1:6" x14ac:dyDescent="0.2">
      <c r="A331">
        <f>A330+'Inputs &amp; Outputs'!$B$6</f>
        <v>8.2686718642483878</v>
      </c>
      <c r="B331">
        <f>Calculations!$A$3*SIN(SQRT('Inputs &amp; Outputs'!$B$4/'Inputs &amp; Outputs'!$B$5)*A331+Calculations!$A$7)</f>
        <v>-7.7930130138057425</v>
      </c>
      <c r="C331">
        <f>SQRT('Inputs &amp; Outputs'!$B$4/'Inputs &amp; Outputs'!$B$5)*Calculations!$A$3*COS(SQRT('Inputs &amp; Outputs'!$B$4/'Inputs &amp; Outputs'!$B$5)*A331+Calculations!$A$7)</f>
        <v>-1.3480493468948329</v>
      </c>
      <c r="D331">
        <f>1/2*'Inputs &amp; Outputs'!$B$5*'Analytical Steps'!C331^2</f>
        <v>18.172370416635854</v>
      </c>
      <c r="E331">
        <f>1/2*'Inputs &amp; Outputs'!$B$4*'Analytical Steps'!B331^2</f>
        <v>151.82762958336414</v>
      </c>
      <c r="F331">
        <f t="shared" si="5"/>
        <v>170</v>
      </c>
    </row>
    <row r="332" spans="1:6" x14ac:dyDescent="0.2">
      <c r="A332">
        <f>A331+'Inputs &amp; Outputs'!$B$6</f>
        <v>8.2938046054771064</v>
      </c>
      <c r="B332">
        <f>Calculations!$A$3*SIN(SQRT('Inputs &amp; Outputs'!$B$4/'Inputs &amp; Outputs'!$B$5)*A332+Calculations!$A$7)</f>
        <v>-7.8262769939741821</v>
      </c>
      <c r="C332">
        <f>SQRT('Inputs &amp; Outputs'!$B$4/'Inputs &amp; Outputs'!$B$5)*Calculations!$A$3*COS(SQRT('Inputs &amp; Outputs'!$B$4/'Inputs &amp; Outputs'!$B$5)*A332+Calculations!$A$7)</f>
        <v>-1.298979254413869</v>
      </c>
      <c r="D332">
        <f>1/2*'Inputs &amp; Outputs'!$B$5*'Analytical Steps'!C332^2</f>
        <v>16.873471033976109</v>
      </c>
      <c r="E332">
        <f>1/2*'Inputs &amp; Outputs'!$B$4*'Analytical Steps'!B332^2</f>
        <v>153.1265289660239</v>
      </c>
      <c r="F332">
        <f t="shared" si="5"/>
        <v>170</v>
      </c>
    </row>
    <row r="333" spans="1:6" x14ac:dyDescent="0.2">
      <c r="A333">
        <f>A332+'Inputs &amp; Outputs'!$B$6</f>
        <v>8.318937346705825</v>
      </c>
      <c r="B333">
        <f>Calculations!$A$3*SIN(SQRT('Inputs &amp; Outputs'!$B$4/'Inputs &amp; Outputs'!$B$5)*A333+Calculations!$A$7)</f>
        <v>-7.8583051142801921</v>
      </c>
      <c r="C333">
        <f>SQRT('Inputs &amp; Outputs'!$B$4/'Inputs &amp; Outputs'!$B$5)*Calculations!$A$3*COS(SQRT('Inputs &amp; Outputs'!$B$4/'Inputs &amp; Outputs'!$B$5)*A333+Calculations!$A$7)</f>
        <v>-1.2497040380503874</v>
      </c>
      <c r="D333">
        <f>1/2*'Inputs &amp; Outputs'!$B$5*'Analytical Steps'!C333^2</f>
        <v>15.617601827194443</v>
      </c>
      <c r="E333">
        <f>1/2*'Inputs &amp; Outputs'!$B$4*'Analytical Steps'!B333^2</f>
        <v>154.38239817280555</v>
      </c>
      <c r="F333">
        <f t="shared" si="5"/>
        <v>170</v>
      </c>
    </row>
    <row r="334" spans="1:6" x14ac:dyDescent="0.2">
      <c r="A334">
        <f>A333+'Inputs &amp; Outputs'!$B$6</f>
        <v>8.3440700879345435</v>
      </c>
      <c r="B334">
        <f>Calculations!$A$3*SIN(SQRT('Inputs &amp; Outputs'!$B$4/'Inputs &amp; Outputs'!$B$5)*A334+Calculations!$A$7)</f>
        <v>-7.8890923171122944</v>
      </c>
      <c r="C334">
        <f>SQRT('Inputs &amp; Outputs'!$B$4/'Inputs &amp; Outputs'!$B$5)*Calculations!$A$3*COS(SQRT('Inputs &amp; Outputs'!$B$4/'Inputs &amp; Outputs'!$B$5)*A334+Calculations!$A$7)</f>
        <v>-1.2002314789322694</v>
      </c>
      <c r="D334">
        <f>1/2*'Inputs &amp; Outputs'!$B$5*'Analytical Steps'!C334^2</f>
        <v>14.405556030199428</v>
      </c>
      <c r="E334">
        <f>1/2*'Inputs &amp; Outputs'!$B$4*'Analytical Steps'!B334^2</f>
        <v>155.59444396980058</v>
      </c>
      <c r="F334">
        <f t="shared" si="5"/>
        <v>170</v>
      </c>
    </row>
    <row r="335" spans="1:6" x14ac:dyDescent="0.2">
      <c r="A335">
        <f>A334+'Inputs &amp; Outputs'!$B$6</f>
        <v>8.3692028291632621</v>
      </c>
      <c r="B335">
        <f>Calculations!$A$3*SIN(SQRT('Inputs &amp; Outputs'!$B$4/'Inputs &amp; Outputs'!$B$5)*A335+Calculations!$A$7)</f>
        <v>-7.9186337408142657</v>
      </c>
      <c r="C335">
        <f>SQRT('Inputs &amp; Outputs'!$B$4/'Inputs &amp; Outputs'!$B$5)*Calculations!$A$3*COS(SQRT('Inputs &amp; Outputs'!$B$4/'Inputs &amp; Outputs'!$B$5)*A335+Calculations!$A$7)</f>
        <v>-1.150569389350103</v>
      </c>
      <c r="D335">
        <f>1/2*'Inputs &amp; Outputs'!$B$5*'Analytical Steps'!C335^2</f>
        <v>13.238099197094687</v>
      </c>
      <c r="E335">
        <f>1/2*'Inputs &amp; Outputs'!$B$4*'Analytical Steps'!B335^2</f>
        <v>156.76190080290533</v>
      </c>
      <c r="F335">
        <f t="shared" si="5"/>
        <v>170.00000000000003</v>
      </c>
    </row>
    <row r="336" spans="1:6" x14ac:dyDescent="0.2">
      <c r="A336">
        <f>A335+'Inputs &amp; Outputs'!$B$6</f>
        <v>8.3943355703919806</v>
      </c>
      <c r="B336">
        <f>Calculations!$A$3*SIN(SQRT('Inputs &amp; Outputs'!$B$4/'Inputs &amp; Outputs'!$B$5)*A336+Calculations!$A$7)</f>
        <v>-7.9469247204528468</v>
      </c>
      <c r="C336">
        <f>SQRT('Inputs &amp; Outputs'!$B$4/'Inputs &amp; Outputs'!$B$5)*Calculations!$A$3*COS(SQRT('Inputs &amp; Outputs'!$B$4/'Inputs &amp; Outputs'!$B$5)*A336+Calculations!$A$7)</f>
        <v>-1.1007256115235347</v>
      </c>
      <c r="D336">
        <f>1/2*'Inputs &amp; Outputs'!$B$5*'Analytical Steps'!C336^2</f>
        <v>12.115968718638593</v>
      </c>
      <c r="E336">
        <f>1/2*'Inputs &amp; Outputs'!$B$4*'Analytical Steps'!B336^2</f>
        <v>157.88403128136139</v>
      </c>
      <c r="F336">
        <f t="shared" si="5"/>
        <v>169.99999999999997</v>
      </c>
    </row>
    <row r="337" spans="1:6" x14ac:dyDescent="0.2">
      <c r="A337">
        <f>A336+'Inputs &amp; Outputs'!$B$6</f>
        <v>8.4194683116206992</v>
      </c>
      <c r="B337">
        <f>Calculations!$A$3*SIN(SQRT('Inputs &amp; Outputs'!$B$4/'Inputs &amp; Outputs'!$B$5)*A337+Calculations!$A$7)</f>
        <v>-7.9739607885543959</v>
      </c>
      <c r="C337">
        <f>SQRT('Inputs &amp; Outputs'!$B$4/'Inputs &amp; Outputs'!$B$5)*Calculations!$A$3*COS(SQRT('Inputs &amp; Outputs'!$B$4/'Inputs &amp; Outputs'!$B$5)*A337+Calculations!$A$7)</f>
        <v>-1.050708016362891</v>
      </c>
      <c r="D337">
        <f>1/2*'Inputs &amp; Outputs'!$B$5*'Analytical Steps'!C337^2</f>
        <v>11.039873356492414</v>
      </c>
      <c r="E337">
        <f>1/2*'Inputs &amp; Outputs'!$B$4*'Analytical Steps'!B337^2</f>
        <v>158.96012664350761</v>
      </c>
      <c r="F337">
        <f t="shared" si="5"/>
        <v>170.00000000000003</v>
      </c>
    </row>
    <row r="338" spans="1:6" x14ac:dyDescent="0.2">
      <c r="A338">
        <f>A337+'Inputs &amp; Outputs'!$B$6</f>
        <v>8.4446010528494178</v>
      </c>
      <c r="B338">
        <f>Calculations!$A$3*SIN(SQRT('Inputs &amp; Outputs'!$B$4/'Inputs &amp; Outputs'!$B$5)*A338+Calculations!$A$7)</f>
        <v>-7.9997376758103451</v>
      </c>
      <c r="C338">
        <f>SQRT('Inputs &amp; Outputs'!$B$4/'Inputs &amp; Outputs'!$B$5)*Calculations!$A$3*COS(SQRT('Inputs &amp; Outputs'!$B$4/'Inputs &amp; Outputs'!$B$5)*A338+Calculations!$A$7)</f>
        <v>-1.0005245022262697</v>
      </c>
      <c r="D338">
        <f>1/2*'Inputs &amp; Outputs'!$B$5*'Analytical Steps'!C338^2</f>
        <v>10.010492795551247</v>
      </c>
      <c r="E338">
        <f>1/2*'Inputs &amp; Outputs'!$B$4*'Analytical Steps'!B338^2</f>
        <v>159.98950720444876</v>
      </c>
      <c r="F338">
        <f t="shared" si="5"/>
        <v>170</v>
      </c>
    </row>
    <row r="339" spans="1:6" x14ac:dyDescent="0.2">
      <c r="A339">
        <f>A338+'Inputs &amp; Outputs'!$B$6</f>
        <v>8.4697337940781363</v>
      </c>
      <c r="B339">
        <f>Calculations!$A$3*SIN(SQRT('Inputs &amp; Outputs'!$B$4/'Inputs &amp; Outputs'!$B$5)*A339+Calculations!$A$7)</f>
        <v>-8.0242513117513834</v>
      </c>
      <c r="C339">
        <f>SQRT('Inputs &amp; Outputs'!$B$4/'Inputs &amp; Outputs'!$B$5)*Calculations!$A$3*COS(SQRT('Inputs &amp; Outputs'!$B$4/'Inputs &amp; Outputs'!$B$5)*A339+Calculations!$A$7)</f>
        <v>-0.95018299367229875</v>
      </c>
      <c r="D339">
        <f>1/2*'Inputs &amp; Outputs'!$B$5*'Analytical Steps'!C339^2</f>
        <v>9.0284772146405174</v>
      </c>
      <c r="E339">
        <f>1/2*'Inputs &amp; Outputs'!$B$4*'Analytical Steps'!B339^2</f>
        <v>160.97152278535947</v>
      </c>
      <c r="F339">
        <f t="shared" si="5"/>
        <v>170</v>
      </c>
    </row>
    <row r="340" spans="1:6" x14ac:dyDescent="0.2">
      <c r="A340">
        <f>A339+'Inputs &amp; Outputs'!$B$6</f>
        <v>8.4948665353068549</v>
      </c>
      <c r="B340">
        <f>Calculations!$A$3*SIN(SQRT('Inputs &amp; Outputs'!$B$4/'Inputs &amp; Outputs'!$B$5)*A340+Calculations!$A$7)</f>
        <v>-8.0474978253902236</v>
      </c>
      <c r="C340">
        <f>SQRT('Inputs &amp; Outputs'!$B$4/'Inputs &amp; Outputs'!$B$5)*Calculations!$A$3*COS(SQRT('Inputs &amp; Outputs'!$B$4/'Inputs &amp; Outputs'!$B$5)*A340+Calculations!$A$7)</f>
        <v>-0.89969144020875635</v>
      </c>
      <c r="D340">
        <f>1/2*'Inputs &amp; Outputs'!$B$5*'Analytical Steps'!C340^2</f>
        <v>8.0944468758490622</v>
      </c>
      <c r="E340">
        <f>1/2*'Inputs &amp; Outputs'!$B$4*'Analytical Steps'!B340^2</f>
        <v>161.90555312415097</v>
      </c>
      <c r="F340">
        <f t="shared" si="5"/>
        <v>170.00000000000003</v>
      </c>
    </row>
    <row r="341" spans="1:6" x14ac:dyDescent="0.2">
      <c r="A341">
        <f>A340+'Inputs &amp; Outputs'!$B$6</f>
        <v>8.5199992765355734</v>
      </c>
      <c r="B341">
        <f>Calculations!$A$3*SIN(SQRT('Inputs &amp; Outputs'!$B$4/'Inputs &amp; Outputs'!$B$5)*A341+Calculations!$A$7)</f>
        <v>-8.0694735458328797</v>
      </c>
      <c r="C341">
        <f>SQRT('Inputs &amp; Outputs'!$B$4/'Inputs &amp; Outputs'!$B$5)*Calculations!$A$3*COS(SQRT('Inputs &amp; Outputs'!$B$4/'Inputs &amp; Outputs'!$B$5)*A341+Calculations!$A$7)</f>
        <v>-0.84905781503725097</v>
      </c>
      <c r="D341">
        <f>1/2*'Inputs &amp; Outputs'!$B$5*'Analytical Steps'!C341^2</f>
        <v>7.2089917327583066</v>
      </c>
      <c r="E341">
        <f>1/2*'Inputs &amp; Outputs'!$B$4*'Analytical Steps'!B341^2</f>
        <v>162.79100826724169</v>
      </c>
      <c r="F341">
        <f t="shared" si="5"/>
        <v>170</v>
      </c>
    </row>
    <row r="342" spans="1:6" x14ac:dyDescent="0.2">
      <c r="A342">
        <f>A341+'Inputs &amp; Outputs'!$B$6</f>
        <v>8.545132017764292</v>
      </c>
      <c r="B342">
        <f>Calculations!$A$3*SIN(SQRT('Inputs &amp; Outputs'!$B$4/'Inputs &amp; Outputs'!$B$5)*A342+Calculations!$A$7)</f>
        <v>-8.090175002858345</v>
      </c>
      <c r="C342">
        <f>SQRT('Inputs &amp; Outputs'!$B$4/'Inputs &amp; Outputs'!$B$5)*Calculations!$A$3*COS(SQRT('Inputs &amp; Outputs'!$B$4/'Inputs &amp; Outputs'!$B$5)*A342+Calculations!$A$7)</f>
        <v>-0.79829011379416082</v>
      </c>
      <c r="D342">
        <f>1/2*'Inputs &amp; Outputs'!$B$5*'Analytical Steps'!C342^2</f>
        <v>6.3726710578149426</v>
      </c>
      <c r="E342">
        <f>1/2*'Inputs &amp; Outputs'!$B$4*'Analytical Steps'!B342^2</f>
        <v>163.62732894218507</v>
      </c>
      <c r="F342">
        <f t="shared" si="5"/>
        <v>170.00000000000003</v>
      </c>
    </row>
    <row r="343" spans="1:6" x14ac:dyDescent="0.2">
      <c r="A343">
        <f>A342+'Inputs &amp; Outputs'!$B$6</f>
        <v>8.5702647589930105</v>
      </c>
      <c r="B343">
        <f>Calculations!$A$3*SIN(SQRT('Inputs &amp; Outputs'!$B$4/'Inputs &amp; Outputs'!$B$5)*A343+Calculations!$A$7)</f>
        <v>-8.1095989274665747</v>
      </c>
      <c r="C343">
        <f>SQRT('Inputs &amp; Outputs'!$B$4/'Inputs &amp; Outputs'!$B$5)*Calculations!$A$3*COS(SQRT('Inputs &amp; Outputs'!$B$4/'Inputs &amp; Outputs'!$B$5)*A343+Calculations!$A$7)</f>
        <v>-0.74739635328802989</v>
      </c>
      <c r="D343">
        <f>1/2*'Inputs &amp; Outputs'!$B$5*'Analytical Steps'!C343^2</f>
        <v>5.5860130890824555</v>
      </c>
      <c r="E343">
        <f>1/2*'Inputs &amp; Outputs'!$B$4*'Analytical Steps'!B343^2</f>
        <v>164.41398691091757</v>
      </c>
      <c r="F343">
        <f t="shared" si="5"/>
        <v>170.00000000000003</v>
      </c>
    </row>
    <row r="344" spans="1:6" x14ac:dyDescent="0.2">
      <c r="A344">
        <f>A343+'Inputs &amp; Outputs'!$B$6</f>
        <v>8.5953975002217291</v>
      </c>
      <c r="B344">
        <f>Calculations!$A$3*SIN(SQRT('Inputs &amp; Outputs'!$B$4/'Inputs &amp; Outputs'!$B$5)*A344+Calculations!$A$7)</f>
        <v>-8.1277422523947038</v>
      </c>
      <c r="C344">
        <f>SQRT('Inputs &amp; Outputs'!$B$4/'Inputs &amp; Outputs'!$B$5)*Calculations!$A$3*COS(SQRT('Inputs &amp; Outputs'!$B$4/'Inputs &amp; Outputs'!$B$5)*A344+Calculations!$A$7)</f>
        <v>-0.69638457023362144</v>
      </c>
      <c r="D344">
        <f>1/2*'Inputs &amp; Outputs'!$B$5*'Analytical Steps'!C344^2</f>
        <v>4.8495146965946558</v>
      </c>
      <c r="E344">
        <f>1/2*'Inputs &amp; Outputs'!$B$4*'Analytical Steps'!B344^2</f>
        <v>165.15048530340533</v>
      </c>
      <c r="F344">
        <f t="shared" si="5"/>
        <v>170</v>
      </c>
    </row>
    <row r="345" spans="1:6" x14ac:dyDescent="0.2">
      <c r="A345">
        <f>A344+'Inputs &amp; Outputs'!$B$6</f>
        <v>8.6205302414504477</v>
      </c>
      <c r="B345">
        <f>Calculations!$A$3*SIN(SQRT('Inputs &amp; Outputs'!$B$4/'Inputs &amp; Outputs'!$B$5)*A345+Calculations!$A$7)</f>
        <v>-8.1446021126014028</v>
      </c>
      <c r="C345">
        <f>SQRT('Inputs &amp; Outputs'!$B$4/'Inputs &amp; Outputs'!$B$5)*Calculations!$A$3*COS(SQRT('Inputs &amp; Outputs'!$B$4/'Inputs &amp; Outputs'!$B$5)*A345+Calculations!$A$7)</f>
        <v>-0.64526281998282697</v>
      </c>
      <c r="D345">
        <f>1/2*'Inputs &amp; Outputs'!$B$5*'Analytical Steps'!C345^2</f>
        <v>4.1636410685219012</v>
      </c>
      <c r="E345">
        <f>1/2*'Inputs &amp; Outputs'!$B$4*'Analytical Steps'!B345^2</f>
        <v>165.83635893147806</v>
      </c>
      <c r="F345">
        <f t="shared" si="5"/>
        <v>169.99999999999997</v>
      </c>
    </row>
    <row r="346" spans="1:6" x14ac:dyDescent="0.2">
      <c r="A346">
        <f>A345+'Inputs &amp; Outputs'!$B$6</f>
        <v>8.6456629826791662</v>
      </c>
      <c r="B346">
        <f>Calculations!$A$3*SIN(SQRT('Inputs &amp; Outputs'!$B$4/'Inputs &amp; Outputs'!$B$5)*A346+Calculations!$A$7)</f>
        <v>-8.1601758457192997</v>
      </c>
      <c r="C346">
        <f>SQRT('Inputs &amp; Outputs'!$B$4/'Inputs &amp; Outputs'!$B$5)*Calculations!$A$3*COS(SQRT('Inputs &amp; Outputs'!$B$4/'Inputs &amp; Outputs'!$B$5)*A346+Calculations!$A$7)</f>
        <v>-0.59403917525263339</v>
      </c>
      <c r="D346">
        <f>1/2*'Inputs &amp; Outputs'!$B$5*'Analytical Steps'!C346^2</f>
        <v>3.5288254173482887</v>
      </c>
      <c r="E346">
        <f>1/2*'Inputs &amp; Outputs'!$B$4*'Analytical Steps'!B346^2</f>
        <v>166.47117458265171</v>
      </c>
      <c r="F346">
        <f t="shared" si="5"/>
        <v>170</v>
      </c>
    </row>
    <row r="347" spans="1:6" x14ac:dyDescent="0.2">
      <c r="A347">
        <f>A346+'Inputs &amp; Outputs'!$B$6</f>
        <v>8.6707957239078848</v>
      </c>
      <c r="B347">
        <f>Calculations!$A$3*SIN(SQRT('Inputs &amp; Outputs'!$B$4/'Inputs &amp; Outputs'!$B$5)*A347+Calculations!$A$7)</f>
        <v>-8.1744609924753977</v>
      </c>
      <c r="C347">
        <f>SQRT('Inputs &amp; Outputs'!$B$4/'Inputs &amp; Outputs'!$B$5)*Calculations!$A$3*COS(SQRT('Inputs &amp; Outputs'!$B$4/'Inputs &amp; Outputs'!$B$5)*A347+Calculations!$A$7)</f>
        <v>-0.54272172485034675</v>
      </c>
      <c r="D347">
        <f>1/2*'Inputs &amp; Outputs'!$B$5*'Analytical Steps'!C347^2</f>
        <v>2.9454687062453551</v>
      </c>
      <c r="E347">
        <f>1/2*'Inputs &amp; Outputs'!$B$4*'Analytical Steps'!B347^2</f>
        <v>167.05453129375468</v>
      </c>
      <c r="F347">
        <f t="shared" si="5"/>
        <v>170.00000000000003</v>
      </c>
    </row>
    <row r="348" spans="1:6" x14ac:dyDescent="0.2">
      <c r="A348">
        <f>A347+'Inputs &amp; Outputs'!$B$6</f>
        <v>8.6959284651366033</v>
      </c>
      <c r="B348">
        <f>Calculations!$A$3*SIN(SQRT('Inputs &amp; Outputs'!$B$4/'Inputs &amp; Outputs'!$B$5)*A348+Calculations!$A$7)</f>
        <v>-8.1874552970794259</v>
      </c>
      <c r="C348">
        <f>SQRT('Inputs &amp; Outputs'!$B$4/'Inputs &amp; Outputs'!$B$5)*Calculations!$A$3*COS(SQRT('Inputs &amp; Outputs'!$B$4/'Inputs &amp; Outputs'!$B$5)*A348+Calculations!$A$7)</f>
        <v>-0.49131857239627658</v>
      </c>
      <c r="D348">
        <f>1/2*'Inputs &amp; Outputs'!$B$5*'Analytical Steps'!C348^2</f>
        <v>2.4139393958151527</v>
      </c>
      <c r="E348">
        <f>1/2*'Inputs &amp; Outputs'!$B$4*'Analytical Steps'!B348^2</f>
        <v>167.58606060418487</v>
      </c>
      <c r="F348">
        <f t="shared" si="5"/>
        <v>170.00000000000003</v>
      </c>
    </row>
    <row r="349" spans="1:6" x14ac:dyDescent="0.2">
      <c r="A349">
        <f>A348+'Inputs &amp; Outputs'!$B$6</f>
        <v>8.7210612063653219</v>
      </c>
      <c r="B349">
        <f>Calculations!$A$3*SIN(SQRT('Inputs &amp; Outputs'!$B$4/'Inputs &amp; Outputs'!$B$5)*A349+Calculations!$A$7)</f>
        <v>-8.1991567075800518</v>
      </c>
      <c r="C349">
        <f>SQRT('Inputs &amp; Outputs'!$B$4/'Inputs &amp; Outputs'!$B$5)*Calculations!$A$3*COS(SQRT('Inputs &amp; Outputs'!$B$4/'Inputs &amp; Outputs'!$B$5)*A349+Calculations!$A$7)</f>
        <v>-0.43983783504407936</v>
      </c>
      <c r="D349">
        <f>1/2*'Inputs &amp; Outputs'!$B$5*'Analytical Steps'!C349^2</f>
        <v>1.9345732113626277</v>
      </c>
      <c r="E349">
        <f>1/2*'Inputs &amp; Outputs'!$B$4*'Analytical Steps'!B349^2</f>
        <v>168.06542678863738</v>
      </c>
      <c r="F349">
        <f t="shared" si="5"/>
        <v>170</v>
      </c>
    </row>
    <row r="350" spans="1:6" x14ac:dyDescent="0.2">
      <c r="A350">
        <f>A349+'Inputs &amp; Outputs'!$B$6</f>
        <v>8.7461939475940405</v>
      </c>
      <c r="B350">
        <f>Calculations!$A$3*SIN(SQRT('Inputs &amp; Outputs'!$B$4/'Inputs &amp; Outputs'!$B$5)*A350+Calculations!$A$7)</f>
        <v>-8.2095633761889104</v>
      </c>
      <c r="C350">
        <f>SQRT('Inputs &amp; Outputs'!$B$4/'Inputs &amp; Outputs'!$B$5)*Calculations!$A$3*COS(SQRT('Inputs &amp; Outputs'!$B$4/'Inputs &amp; Outputs'!$B$5)*A350+Calculations!$A$7)</f>
        <v>-0.38828764219896672</v>
      </c>
      <c r="D350">
        <f>1/2*'Inputs &amp; Outputs'!$B$5*'Analytical Steps'!C350^2</f>
        <v>1.507672930844328</v>
      </c>
      <c r="E350">
        <f>1/2*'Inputs &amp; Outputs'!$B$4*'Analytical Steps'!B350^2</f>
        <v>168.49232706915564</v>
      </c>
      <c r="F350">
        <f t="shared" si="5"/>
        <v>169.99999999999997</v>
      </c>
    </row>
    <row r="351" spans="1:6" x14ac:dyDescent="0.2">
      <c r="A351">
        <f>A350+'Inputs &amp; Outputs'!$B$6</f>
        <v>8.771326688822759</v>
      </c>
      <c r="B351">
        <f>Calculations!$A$3*SIN(SQRT('Inputs &amp; Outputs'!$B$4/'Inputs &amp; Outputs'!$B$5)*A351+Calculations!$A$7)</f>
        <v>-8.2186736595723922</v>
      </c>
      <c r="C351">
        <f>SQRT('Inputs &amp; Outputs'!$B$4/'Inputs &amp; Outputs'!$B$5)*Calculations!$A$3*COS(SQRT('Inputs &amp; Outputs'!$B$4/'Inputs &amp; Outputs'!$B$5)*A351+Calculations!$A$7)</f>
        <v>-0.33667613423397769</v>
      </c>
      <c r="D351">
        <f>1/2*'Inputs &amp; Outputs'!$B$5*'Analytical Steps'!C351^2</f>
        <v>1.1335081936273537</v>
      </c>
      <c r="E351">
        <f>1/2*'Inputs &amp; Outputs'!$B$4*'Analytical Steps'!B351^2</f>
        <v>168.86649180637264</v>
      </c>
      <c r="F351">
        <f t="shared" si="5"/>
        <v>170</v>
      </c>
    </row>
    <row r="352" spans="1:6" x14ac:dyDescent="0.2">
      <c r="A352">
        <f>A351+'Inputs &amp; Outputs'!$B$6</f>
        <v>8.7964594300514776</v>
      </c>
      <c r="B352">
        <f>Calculations!$A$3*SIN(SQRT('Inputs &amp; Outputs'!$B$4/'Inputs &amp; Outputs'!$B$5)*A352+Calculations!$A$7)</f>
        <v>-8.22648611911114</v>
      </c>
      <c r="C352">
        <f>SQRT('Inputs &amp; Outputs'!$B$4/'Inputs &amp; Outputs'!$B$5)*Calculations!$A$3*COS(SQRT('Inputs &amp; Outputs'!$B$4/'Inputs &amp; Outputs'!$B$5)*A352+Calculations!$A$7)</f>
        <v>-0.28501146120451964</v>
      </c>
      <c r="D352">
        <f>1/2*'Inputs &amp; Outputs'!$B$5*'Analytical Steps'!C352^2</f>
        <v>0.81231533017935409</v>
      </c>
      <c r="E352">
        <f>1/2*'Inputs &amp; Outputs'!$B$4*'Analytical Steps'!B352^2</f>
        <v>169.18768466982067</v>
      </c>
      <c r="F352">
        <f t="shared" si="5"/>
        <v>170.00000000000003</v>
      </c>
    </row>
    <row r="353" spans="1:6" x14ac:dyDescent="0.2">
      <c r="A353">
        <f>A352+'Inputs &amp; Outputs'!$B$6</f>
        <v>8.8215921712801961</v>
      </c>
      <c r="B353">
        <f>Calculations!$A$3*SIN(SQRT('Inputs &amp; Outputs'!$B$4/'Inputs &amp; Outputs'!$B$5)*A353+Calculations!$A$7)</f>
        <v>-8.2329995211272262</v>
      </c>
      <c r="C353">
        <f>SQRT('Inputs &amp; Outputs'!$B$4/'Inputs &amp; Outputs'!$B$5)*Calculations!$A$3*COS(SQRT('Inputs &amp; Outputs'!$B$4/'Inputs &amp; Outputs'!$B$5)*A353+Calculations!$A$7)</f>
        <v>-0.23330178156137965</v>
      </c>
      <c r="D353">
        <f>1/2*'Inputs &amp; Outputs'!$B$5*'Analytical Steps'!C353^2</f>
        <v>0.54429721279713705</v>
      </c>
      <c r="E353">
        <f>1/2*'Inputs &amp; Outputs'!$B$4*'Analytical Steps'!B353^2</f>
        <v>169.45570278720282</v>
      </c>
      <c r="F353">
        <f t="shared" si="5"/>
        <v>169.99999999999997</v>
      </c>
    </row>
    <row r="354" spans="1:6" x14ac:dyDescent="0.2">
      <c r="A354">
        <f>A353+'Inputs &amp; Outputs'!$B$6</f>
        <v>8.8467249125089147</v>
      </c>
      <c r="B354">
        <f>Calculations!$A$3*SIN(SQRT('Inputs &amp; Outputs'!$B$4/'Inputs &amp; Outputs'!$B$5)*A354+Calculations!$A$7)</f>
        <v>-8.2382128370789687</v>
      </c>
      <c r="C354">
        <f>SQRT('Inputs &amp; Outputs'!$B$4/'Inputs &amp; Outputs'!$B$5)*Calculations!$A$3*COS(SQRT('Inputs &amp; Outputs'!$B$4/'Inputs &amp; Outputs'!$B$5)*A354+Calculations!$A$7)</f>
        <v>-0.18155526086241111</v>
      </c>
      <c r="D354">
        <f>1/2*'Inputs &amp; Outputs'!$B$5*'Analytical Steps'!C354^2</f>
        <v>0.32962312746818151</v>
      </c>
      <c r="E354">
        <f>1/2*'Inputs &amp; Outputs'!$B$4*'Analytical Steps'!B354^2</f>
        <v>169.67037687253179</v>
      </c>
      <c r="F354">
        <f t="shared" si="5"/>
        <v>169.99999999999997</v>
      </c>
    </row>
    <row r="355" spans="1:6" x14ac:dyDescent="0.2">
      <c r="A355">
        <f>A354+'Inputs &amp; Outputs'!$B$6</f>
        <v>8.8718576537376332</v>
      </c>
      <c r="B355">
        <f>Calculations!$A$3*SIN(SQRT('Inputs &amp; Outputs'!$B$4/'Inputs &amp; Outputs'!$B$5)*A355+Calculations!$A$7)</f>
        <v>-8.2421252437233452</v>
      </c>
      <c r="C355">
        <f>SQRT('Inputs &amp; Outputs'!$B$4/'Inputs &amp; Outputs'!$B$5)*Calculations!$A$3*COS(SQRT('Inputs &amp; Outputs'!$B$4/'Inputs &amp; Outputs'!$B$5)*A355+Calculations!$A$7)</f>
        <v>-0.129780070483097</v>
      </c>
      <c r="D355">
        <f>1/2*'Inputs &amp; Outputs'!$B$5*'Analytical Steps'!C355^2</f>
        <v>0.16842866694597627</v>
      </c>
      <c r="E355">
        <f>1/2*'Inputs &amp; Outputs'!$B$4*'Analytical Steps'!B355^2</f>
        <v>169.83157133305406</v>
      </c>
      <c r="F355">
        <f t="shared" si="5"/>
        <v>170.00000000000003</v>
      </c>
    </row>
    <row r="356" spans="1:6" x14ac:dyDescent="0.2">
      <c r="A356">
        <f>A355+'Inputs &amp; Outputs'!$B$6</f>
        <v>8.8969903949663518</v>
      </c>
      <c r="B356">
        <f>Calculations!$A$3*SIN(SQRT('Inputs &amp; Outputs'!$B$4/'Inputs &amp; Outputs'!$B$5)*A356+Calculations!$A$7)</f>
        <v>-8.244736123245989</v>
      </c>
      <c r="C356">
        <f>SQRT('Inputs &amp; Outputs'!$B$4/'Inputs &amp; Outputs'!$B$5)*Calculations!$A$3*COS(SQRT('Inputs &amp; Outputs'!$B$4/'Inputs &amp; Outputs'!$B$5)*A356+Calculations!$A$7)</f>
        <v>-7.7984386326195337E-2</v>
      </c>
      <c r="D356">
        <f>1/2*'Inputs &amp; Outputs'!$B$5*'Analytical Steps'!C356^2</f>
        <v>6.0815645106732825E-2</v>
      </c>
      <c r="E356">
        <f>1/2*'Inputs &amp; Outputs'!$B$4*'Analytical Steps'!B356^2</f>
        <v>169.93918435489323</v>
      </c>
      <c r="F356">
        <f t="shared" si="5"/>
        <v>169.99999999999997</v>
      </c>
    </row>
    <row r="357" spans="1:6" x14ac:dyDescent="0.2">
      <c r="A357">
        <f>A356+'Inputs &amp; Outputs'!$B$6</f>
        <v>8.9221231361950704</v>
      </c>
      <c r="B357">
        <f>Calculations!$A$3*SIN(SQRT('Inputs &amp; Outputs'!$B$4/'Inputs &amp; Outputs'!$B$5)*A357+Calculations!$A$7)</f>
        <v>-8.2460450633587605</v>
      </c>
      <c r="C357">
        <f>SQRT('Inputs &amp; Outputs'!$B$4/'Inputs &amp; Outputs'!$B$5)*Calculations!$A$3*COS(SQRT('Inputs &amp; Outputs'!$B$4/'Inputs &amp; Outputs'!$B$5)*A357+Calculations!$A$7)</f>
        <v>-2.6176387530669074E-2</v>
      </c>
      <c r="D357">
        <f>1/2*'Inputs &amp; Outputs'!$B$5*'Analytical Steps'!C357^2</f>
        <v>6.8520326415576734E-3</v>
      </c>
      <c r="E357">
        <f>1/2*'Inputs &amp; Outputs'!$B$4*'Analytical Steps'!B357^2</f>
        <v>169.99314796735845</v>
      </c>
      <c r="F357">
        <f t="shared" si="5"/>
        <v>170</v>
      </c>
    </row>
    <row r="358" spans="1:6" x14ac:dyDescent="0.2">
      <c r="A358">
        <f>A357+'Inputs &amp; Outputs'!$B$6</f>
        <v>8.9472558774237889</v>
      </c>
      <c r="B358">
        <f>Calculations!$A$3*SIN(SQRT('Inputs &amp; Outputs'!$B$4/'Inputs &amp; Outputs'!$B$5)*A358+Calculations!$A$7)</f>
        <v>-8.24605185736484</v>
      </c>
      <c r="C358">
        <f>SQRT('Inputs &amp; Outputs'!$B$4/'Inputs &amp; Outputs'!$B$5)*Calculations!$A$3*COS(SQRT('Inputs &amp; Outputs'!$B$4/'Inputs &amp; Outputs'!$B$5)*A358+Calculations!$A$7)</f>
        <v>2.5635744819894599E-2</v>
      </c>
      <c r="D358">
        <f>1/2*'Inputs &amp; Outputs'!$B$5*'Analytical Steps'!C358^2</f>
        <v>6.5719141247075272E-3</v>
      </c>
      <c r="E358">
        <f>1/2*'Inputs &amp; Outputs'!$B$4*'Analytical Steps'!B358^2</f>
        <v>169.99342808587531</v>
      </c>
      <c r="F358">
        <f t="shared" si="5"/>
        <v>170.00000000000003</v>
      </c>
    </row>
    <row r="359" spans="1:6" x14ac:dyDescent="0.2">
      <c r="A359">
        <f>A358+'Inputs &amp; Outputs'!$B$6</f>
        <v>8.9723886186525075</v>
      </c>
      <c r="B359">
        <f>Calculations!$A$3*SIN(SQRT('Inputs &amp; Outputs'!$B$4/'Inputs &amp; Outputs'!$B$5)*A359+Calculations!$A$7)</f>
        <v>-8.2447565041913755</v>
      </c>
      <c r="C359">
        <f>SQRT('Inputs &amp; Outputs'!$B$4/'Inputs &amp; Outputs'!$B$5)*Calculations!$A$3*COS(SQRT('Inputs &amp; Outputs'!$B$4/'Inputs &amp; Outputs'!$B$5)*A359+Calculations!$A$7)</f>
        <v>7.7443828989172223E-2</v>
      </c>
      <c r="D359">
        <f>1/2*'Inputs &amp; Outputs'!$B$5*'Analytical Steps'!C359^2</f>
        <v>5.9975466485041519E-2</v>
      </c>
      <c r="E359">
        <f>1/2*'Inputs &amp; Outputs'!$B$4*'Analytical Steps'!B359^2</f>
        <v>169.94002453351499</v>
      </c>
      <c r="F359">
        <f t="shared" si="5"/>
        <v>170.00000000000003</v>
      </c>
    </row>
    <row r="360" spans="1:6" x14ac:dyDescent="0.2">
      <c r="A360">
        <f>A359+'Inputs &amp; Outputs'!$B$6</f>
        <v>8.997521359881226</v>
      </c>
      <c r="B360">
        <f>Calculations!$A$3*SIN(SQRT('Inputs &amp; Outputs'!$B$4/'Inputs &amp; Outputs'!$B$5)*A360+Calculations!$A$7)</f>
        <v>-8.2421592083896495</v>
      </c>
      <c r="C360">
        <f>SQRT('Inputs &amp; Outputs'!$B$4/'Inputs &amp; Outputs'!$B$5)*Calculations!$A$3*COS(SQRT('Inputs &amp; Outputs'!$B$4/'Inputs &amp; Outputs'!$B$5)*A360+Calculations!$A$7)</f>
        <v>0.12923968388009513</v>
      </c>
      <c r="D360">
        <f>1/2*'Inputs &amp; Outputs'!$B$5*'Analytical Steps'!C360^2</f>
        <v>0.16702895889426919</v>
      </c>
      <c r="E360">
        <f>1/2*'Inputs &amp; Outputs'!$B$4*'Analytical Steps'!B360^2</f>
        <v>169.83297104110574</v>
      </c>
      <c r="F360">
        <f t="shared" si="5"/>
        <v>170</v>
      </c>
    </row>
    <row r="361" spans="1:6" x14ac:dyDescent="0.2">
      <c r="A361">
        <f>A360+'Inputs &amp; Outputs'!$B$6</f>
        <v>9.0226541011099446</v>
      </c>
      <c r="B361">
        <f>Calculations!$A$3*SIN(SQRT('Inputs &amp; Outputs'!$B$4/'Inputs &amp; Outputs'!$B$5)*A361+Calculations!$A$7)</f>
        <v>-8.2382603801027781</v>
      </c>
      <c r="C361">
        <f>SQRT('Inputs &amp; Outputs'!$B$4/'Inputs &amp; Outputs'!$B$5)*Calculations!$A$3*COS(SQRT('Inputs &amp; Outputs'!$B$4/'Inputs &amp; Outputs'!$B$5)*A361+Calculations!$A$7)</f>
        <v>0.18101513032673941</v>
      </c>
      <c r="D361">
        <f>1/2*'Inputs &amp; Outputs'!$B$5*'Analytical Steps'!C361^2</f>
        <v>0.32766477407206451</v>
      </c>
      <c r="E361">
        <f>1/2*'Inputs &amp; Outputs'!$B$4*'Analytical Steps'!B361^2</f>
        <v>169.67233522592792</v>
      </c>
      <c r="F361">
        <f t="shared" si="5"/>
        <v>170</v>
      </c>
    </row>
    <row r="362" spans="1:6" x14ac:dyDescent="0.2">
      <c r="A362">
        <f>A361+'Inputs &amp; Outputs'!$B$6</f>
        <v>9.0477868423386631</v>
      </c>
      <c r="B362">
        <f>Calculations!$A$3*SIN(SQRT('Inputs &amp; Outputs'!$B$4/'Inputs &amp; Outputs'!$B$5)*A362+Calculations!$A$7)</f>
        <v>-8.2330606350009443</v>
      </c>
      <c r="C362">
        <f>SQRT('Inputs &amp; Outputs'!$B$4/'Inputs &amp; Outputs'!$B$5)*Calculations!$A$3*COS(SQRT('Inputs &amp; Outputs'!$B$4/'Inputs &amp; Outputs'!$B$5)*A362+Calculations!$A$7)</f>
        <v>0.23276199238591111</v>
      </c>
      <c r="D362">
        <f>1/2*'Inputs &amp; Outputs'!$B$5*'Analytical Steps'!C362^2</f>
        <v>0.54178145099458941</v>
      </c>
      <c r="E362">
        <f>1/2*'Inputs &amp; Outputs'!$B$4*'Analytical Steps'!B362^2</f>
        <v>169.45821854900538</v>
      </c>
      <c r="F362">
        <f t="shared" si="5"/>
        <v>169.99999999999997</v>
      </c>
    </row>
    <row r="363" spans="1:6" x14ac:dyDescent="0.2">
      <c r="A363">
        <f>A362+'Inputs &amp; Outputs'!$B$6</f>
        <v>9.0729195835673817</v>
      </c>
      <c r="B363">
        <f>Calculations!$A$3*SIN(SQRT('Inputs &amp; Outputs'!$B$4/'Inputs &amp; Outputs'!$B$5)*A363+Calculations!$A$7)</f>
        <v>-8.226560794184179</v>
      </c>
      <c r="C363">
        <f>SQRT('Inputs &amp; Outputs'!$B$4/'Inputs &amp; Outputs'!$B$5)*Calculations!$A$3*COS(SQRT('Inputs &amp; Outputs'!$B$4/'Inputs &amp; Outputs'!$B$5)*A363+Calculations!$A$7)</f>
        <v>0.28447209862822248</v>
      </c>
      <c r="D363">
        <f>1/2*'Inputs &amp; Outputs'!$B$5*'Analytical Steps'!C363^2</f>
        <v>0.80924374897945139</v>
      </c>
      <c r="E363">
        <f>1/2*'Inputs &amp; Outputs'!$B$4*'Analytical Steps'!B363^2</f>
        <v>169.19075625102056</v>
      </c>
      <c r="F363">
        <f t="shared" si="5"/>
        <v>170</v>
      </c>
    </row>
    <row r="364" spans="1:6" x14ac:dyDescent="0.2">
      <c r="A364">
        <f>A363+'Inputs &amp; Outputs'!$B$6</f>
        <v>9.0980523247961003</v>
      </c>
      <c r="B364">
        <f>Calculations!$A$3*SIN(SQRT('Inputs &amp; Outputs'!$B$4/'Inputs &amp; Outputs'!$B$5)*A364+Calculations!$A$7)</f>
        <v>-8.2187618840526913</v>
      </c>
      <c r="C364">
        <f>SQRT('Inputs &amp; Outputs'!$B$4/'Inputs &amp; Outputs'!$B$5)*Calculations!$A$3*COS(SQRT('Inputs &amp; Outputs'!$B$4/'Inputs &amp; Outputs'!$B$5)*A364+Calculations!$A$7)</f>
        <v>0.33613728342845528</v>
      </c>
      <c r="D364">
        <f>1/2*'Inputs &amp; Outputs'!$B$5*'Analytical Steps'!C364^2</f>
        <v>1.1298827331066168</v>
      </c>
      <c r="E364">
        <f>1/2*'Inputs &amp; Outputs'!$B$4*'Analytical Steps'!B364^2</f>
        <v>168.87011726689337</v>
      </c>
      <c r="F364">
        <f t="shared" si="5"/>
        <v>170</v>
      </c>
    </row>
    <row r="365" spans="1:6" x14ac:dyDescent="0.2">
      <c r="A365">
        <f>A364+'Inputs &amp; Outputs'!$B$6</f>
        <v>9.1231850660248188</v>
      </c>
      <c r="B365">
        <f>Calculations!$A$3*SIN(SQRT('Inputs &amp; Outputs'!$B$4/'Inputs &amp; Outputs'!$B$5)*A365+Calculations!$A$7)</f>
        <v>-8.2096651361448032</v>
      </c>
      <c r="C365">
        <f>SQRT('Inputs &amp; Outputs'!$B$4/'Inputs &amp; Outputs'!$B$5)*Calculations!$A$3*COS(SQRT('Inputs &amp; Outputs'!$B$4/'Inputs &amp; Outputs'!$B$5)*A365+Calculations!$A$7)</f>
        <v>0.38774938825500771</v>
      </c>
      <c r="D365">
        <f>1/2*'Inputs &amp; Outputs'!$B$5*'Analytical Steps'!C365^2</f>
        <v>1.5034958809213272</v>
      </c>
      <c r="E365">
        <f>1/2*'Inputs &amp; Outputs'!$B$4*'Analytical Steps'!B365^2</f>
        <v>168.49650411907868</v>
      </c>
      <c r="F365">
        <f t="shared" si="5"/>
        <v>170</v>
      </c>
    </row>
    <row r="366" spans="1:6" x14ac:dyDescent="0.2">
      <c r="A366">
        <f>A365+'Inputs &amp; Outputs'!$B$6</f>
        <v>9.1483178072535374</v>
      </c>
      <c r="B366">
        <f>Calculations!$A$3*SIN(SQRT('Inputs &amp; Outputs'!$B$4/'Inputs &amp; Outputs'!$B$5)*A366+Calculations!$A$7)</f>
        <v>-8.1992719869424597</v>
      </c>
      <c r="C366">
        <f>SQRT('Inputs &amp; Outputs'!$B$4/'Inputs &amp; Outputs'!$B$5)*Calculations!$A$3*COS(SQRT('Inputs &amp; Outputs'!$B$4/'Inputs &amp; Outputs'!$B$5)*A366+Calculations!$A$7)</f>
        <v>0.43930026295822117</v>
      </c>
      <c r="D366">
        <f>1/2*'Inputs &amp; Outputs'!$B$5*'Analytical Steps'!C366^2</f>
        <v>1.9298472103516227</v>
      </c>
      <c r="E366">
        <f>1/2*'Inputs &amp; Outputs'!$B$4*'Analytical Steps'!B366^2</f>
        <v>168.07015278964838</v>
      </c>
      <c r="F366">
        <f t="shared" si="5"/>
        <v>170</v>
      </c>
    </row>
    <row r="367" spans="1:6" x14ac:dyDescent="0.2">
      <c r="A367">
        <f>A366+'Inputs &amp; Outputs'!$B$6</f>
        <v>9.1734505484822559</v>
      </c>
      <c r="B367">
        <f>Calculations!$A$3*SIN(SQRT('Inputs &amp; Outputs'!$B$4/'Inputs &amp; Outputs'!$B$5)*A367+Calculations!$A$7)</f>
        <v>-8.1875840776444022</v>
      </c>
      <c r="C367">
        <f>SQRT('Inputs &amp; Outputs'!$B$4/'Inputs &amp; Outputs'!$B$5)*Calculations!$A$3*COS(SQRT('Inputs &amp; Outputs'!$B$4/'Inputs &amp; Outputs'!$B$5)*A367+Calculations!$A$7)</f>
        <v>0.49078176705738336</v>
      </c>
      <c r="D367">
        <f>1/2*'Inputs &amp; Outputs'!$B$5*'Analytical Steps'!C367^2</f>
        <v>2.408667428759677</v>
      </c>
      <c r="E367">
        <f>1/2*'Inputs &amp; Outputs'!$B$4*'Analytical Steps'!B367^2</f>
        <v>167.59133257124034</v>
      </c>
      <c r="F367">
        <f t="shared" si="5"/>
        <v>170.00000000000003</v>
      </c>
    </row>
    <row r="368" spans="1:6" x14ac:dyDescent="0.2">
      <c r="A368">
        <f>A367+'Inputs &amp; Outputs'!$B$6</f>
        <v>9.1985832897109745</v>
      </c>
      <c r="B368">
        <f>Calculations!$A$3*SIN(SQRT('Inputs &amp; Outputs'!$B$4/'Inputs &amp; Outputs'!$B$5)*A368+Calculations!$A$7)</f>
        <v>-8.1746032539069979</v>
      </c>
      <c r="C368">
        <f>SQRT('Inputs &amp; Outputs'!$B$4/'Inputs &amp; Outputs'!$B$5)*Calculations!$A$3*COS(SQRT('Inputs &amp; Outputs'!$B$4/'Inputs &amp; Outputs'!$B$5)*A368+Calculations!$A$7)</f>
        <v>0.54218577102620436</v>
      </c>
      <c r="D368">
        <f>1/2*'Inputs &amp; Outputs'!$B$5*'Analytical Steps'!C368^2</f>
        <v>2.9396541030327974</v>
      </c>
      <c r="E368">
        <f>1/2*'Inputs &amp; Outputs'!$B$4*'Analytical Steps'!B368^2</f>
        <v>167.06034589696719</v>
      </c>
      <c r="F368">
        <f t="shared" si="5"/>
        <v>170</v>
      </c>
    </row>
    <row r="369" spans="1:6" x14ac:dyDescent="0.2">
      <c r="A369">
        <f>A368+'Inputs &amp; Outputs'!$B$6</f>
        <v>9.2237160309396931</v>
      </c>
      <c r="B369">
        <f>Calculations!$A$3*SIN(SQRT('Inputs &amp; Outputs'!$B$4/'Inputs &amp; Outputs'!$B$5)*A369+Calculations!$A$7)</f>
        <v>-8.160331565552795</v>
      </c>
      <c r="C369">
        <f>SQRT('Inputs &amp; Outputs'!$B$4/'Inputs &amp; Outputs'!$B$5)*Calculations!$A$3*COS(SQRT('Inputs &amp; Outputs'!$B$4/'Inputs &amp; Outputs'!$B$5)*A369+Calculations!$A$7)</f>
        <v>0.59350415757656361</v>
      </c>
      <c r="D369">
        <f>1/2*'Inputs &amp; Outputs'!$B$5*'Analytical Steps'!C369^2</f>
        <v>3.5224718506066646</v>
      </c>
      <c r="E369">
        <f>1/2*'Inputs &amp; Outputs'!$B$4*'Analytical Steps'!B369^2</f>
        <v>166.47752814939335</v>
      </c>
      <c r="F369">
        <f t="shared" si="5"/>
        <v>170.00000000000003</v>
      </c>
    </row>
    <row r="370" spans="1:6" x14ac:dyDescent="0.2">
      <c r="A370">
        <f>A369+'Inputs &amp; Outputs'!$B$6</f>
        <v>9.2488487721684116</v>
      </c>
      <c r="B370">
        <f>Calculations!$A$3*SIN(SQRT('Inputs &amp; Outputs'!$B$4/'Inputs &amp; Outputs'!$B$5)*A370+Calculations!$A$7)</f>
        <v>-8.1447712662468277</v>
      </c>
      <c r="C370">
        <f>SQRT('Inputs &amp; Outputs'!$B$4/'Inputs &amp; Outputs'!$B$5)*Calculations!$A$3*COS(SQRT('Inputs &amp; Outputs'!$B$4/'Inputs &amp; Outputs'!$B$5)*A370+Calculations!$A$7)</f>
        <v>0.64472882294032285</v>
      </c>
      <c r="D370">
        <f>1/2*'Inputs &amp; Outputs'!$B$5*'Analytical Steps'!C370^2</f>
        <v>4.1567525513001415</v>
      </c>
      <c r="E370">
        <f>1/2*'Inputs &amp; Outputs'!$B$4*'Analytical Steps'!B370^2</f>
        <v>165.84324744869988</v>
      </c>
      <c r="F370">
        <f t="shared" si="5"/>
        <v>170.00000000000003</v>
      </c>
    </row>
    <row r="371" spans="1:6" x14ac:dyDescent="0.2">
      <c r="A371">
        <f>A370+'Inputs &amp; Outputs'!$B$6</f>
        <v>9.2739815133971302</v>
      </c>
      <c r="B371">
        <f>Calculations!$A$3*SIN(SQRT('Inputs &amp; Outputs'!$B$4/'Inputs &amp; Outputs'!$B$5)*A371+Calculations!$A$7)</f>
        <v>-8.1279248131407353</v>
      </c>
      <c r="C371">
        <f>SQRT('Inputs &amp; Outputs'!$B$4/'Inputs &amp; Outputs'!$B$5)*Calculations!$A$3*COS(SQRT('Inputs &amp; Outputs'!$B$4/'Inputs &amp; Outputs'!$B$5)*A371+Calculations!$A$7)</f>
        <v>0.69585167814900628</v>
      </c>
      <c r="D371">
        <f>1/2*'Inputs &amp; Outputs'!$B$5*'Analytical Steps'!C371^2</f>
        <v>4.8420955798278822</v>
      </c>
      <c r="E371">
        <f>1/2*'Inputs &amp; Outputs'!$B$4*'Analytical Steps'!B371^2</f>
        <v>165.15790442017214</v>
      </c>
      <c r="F371">
        <f t="shared" si="5"/>
        <v>170.00000000000003</v>
      </c>
    </row>
    <row r="372" spans="1:6" x14ac:dyDescent="0.2">
      <c r="A372">
        <f>A371+'Inputs &amp; Outputs'!$B$6</f>
        <v>9.2991142546258487</v>
      </c>
      <c r="B372">
        <f>Calculations!$A$3*SIN(SQRT('Inputs &amp; Outputs'!$B$4/'Inputs &amp; Outputs'!$B$5)*A372+Calculations!$A$7)</f>
        <v>-8.1097948664847532</v>
      </c>
      <c r="C372">
        <f>SQRT('Inputs &amp; Outputs'!$B$4/'Inputs &amp; Outputs'!$B$5)*Calculations!$A$3*COS(SQRT('Inputs &amp; Outputs'!$B$4/'Inputs &amp; Outputs'!$B$5)*A372+Calculations!$A$7)</f>
        <v>0.74686465031114158</v>
      </c>
      <c r="D372">
        <f>1/2*'Inputs &amp; Outputs'!$B$5*'Analytical Steps'!C372^2</f>
        <v>5.5780680588438383</v>
      </c>
      <c r="E372">
        <f>1/2*'Inputs &amp; Outputs'!$B$4*'Analytical Steps'!B372^2</f>
        <v>164.42193194115615</v>
      </c>
      <c r="F372">
        <f t="shared" si="5"/>
        <v>169.99999999999997</v>
      </c>
    </row>
    <row r="373" spans="1:6" x14ac:dyDescent="0.2">
      <c r="A373">
        <f>A372+'Inputs &amp; Outputs'!$B$6</f>
        <v>9.3242469958545673</v>
      </c>
      <c r="B373">
        <f>Calculations!$A$3*SIN(SQRT('Inputs &amp; Outputs'!$B$4/'Inputs &amp; Outputs'!$B$5)*A373+Calculations!$A$7)</f>
        <v>-8.0903842892076305</v>
      </c>
      <c r="C373">
        <f>SQRT('Inputs &amp; Outputs'!$B$4/'Inputs &amp; Outputs'!$B$5)*Calculations!$A$3*COS(SQRT('Inputs &amp; Outputs'!$B$4/'Inputs &amp; Outputs'!$B$5)*A373+Calculations!$A$7)</f>
        <v>0.79775968388706286</v>
      </c>
      <c r="D373">
        <f>1/2*'Inputs &amp; Outputs'!$B$5*'Analytical Steps'!C373^2</f>
        <v>6.364205132355865</v>
      </c>
      <c r="E373">
        <f>1/2*'Inputs &amp; Outputs'!$B$4*'Analytical Steps'!B373^2</f>
        <v>163.63579486764417</v>
      </c>
      <c r="F373">
        <f t="shared" si="5"/>
        <v>170.00000000000003</v>
      </c>
    </row>
    <row r="374" spans="1:6" x14ac:dyDescent="0.2">
      <c r="A374">
        <f>A373+'Inputs &amp; Outputs'!$B$6</f>
        <v>9.3493797370832858</v>
      </c>
      <c r="B374">
        <f>Calculations!$A$3*SIN(SQRT('Inputs &amp; Outputs'!$B$4/'Inputs &amp; Outputs'!$B$5)*A374+Calculations!$A$7)</f>
        <v>-8.0696961464645316</v>
      </c>
      <c r="C374">
        <f>SQRT('Inputs &amp; Outputs'!$B$4/'Inputs &amp; Outputs'!$B$5)*Calculations!$A$3*COS(SQRT('Inputs &amp; Outputs'!$B$4/'Inputs &amp; Outputs'!$B$5)*A374+Calculations!$A$7)</f>
        <v>0.84852874196097483</v>
      </c>
      <c r="D374">
        <f>1/2*'Inputs &amp; Outputs'!$B$5*'Analytical Steps'!C374^2</f>
        <v>7.2000102593387458</v>
      </c>
      <c r="E374">
        <f>1/2*'Inputs &amp; Outputs'!$B$4*'Analytical Steps'!B374^2</f>
        <v>162.79998974066129</v>
      </c>
      <c r="F374">
        <f t="shared" si="5"/>
        <v>170.00000000000003</v>
      </c>
    </row>
    <row r="375" spans="1:6" x14ac:dyDescent="0.2">
      <c r="A375">
        <f>A374+'Inputs &amp; Outputs'!$B$6</f>
        <v>9.3745124783120044</v>
      </c>
      <c r="B375">
        <f>Calculations!$A$3*SIN(SQRT('Inputs &amp; Outputs'!$B$4/'Inputs &amp; Outputs'!$B$5)*A375+Calculations!$A$7)</f>
        <v>-8.0477337051530196</v>
      </c>
      <c r="C375">
        <f>SQRT('Inputs &amp; Outputs'!$B$4/'Inputs &amp; Outputs'!$B$5)*Calculations!$A$3*COS(SQRT('Inputs &amp; Outputs'!$B$4/'Inputs &amp; Outputs'!$B$5)*A375+Calculations!$A$7)</f>
        <v>0.89916380751007385</v>
      </c>
      <c r="D375">
        <f>1/2*'Inputs &amp; Outputs'!$B$5*'Analytical Steps'!C375^2</f>
        <v>8.0849555273601315</v>
      </c>
      <c r="E375">
        <f>1/2*'Inputs &amp; Outputs'!$B$4*'Analytical Steps'!B375^2</f>
        <v>161.91504447263986</v>
      </c>
      <c r="F375">
        <f t="shared" si="5"/>
        <v>170</v>
      </c>
    </row>
    <row r="376" spans="1:6" x14ac:dyDescent="0.2">
      <c r="A376">
        <f>A375+'Inputs &amp; Outputs'!$B$6</f>
        <v>9.399645219540723</v>
      </c>
      <c r="B376">
        <f>Calculations!$A$3*SIN(SQRT('Inputs &amp; Outputs'!$B$4/'Inputs &amp; Outputs'!$B$5)*A376+Calculations!$A$7)</f>
        <v>-8.0245004333971757</v>
      </c>
      <c r="C376">
        <f>SQRT('Inputs &amp; Outputs'!$B$4/'Inputs &amp; Outputs'!$B$5)*Calculations!$A$3*COS(SQRT('Inputs &amp; Outputs'!$B$4/'Inputs &amp; Outputs'!$B$5)*A376+Calculations!$A$7)</f>
        <v>0.94965688467052956</v>
      </c>
      <c r="D376">
        <f>1/2*'Inputs &amp; Outputs'!$B$5*'Analytical Steps'!C376^2</f>
        <v>9.0184819860213548</v>
      </c>
      <c r="E376">
        <f>1/2*'Inputs &amp; Outputs'!$B$4*'Analytical Steps'!B376^2</f>
        <v>160.98151801397864</v>
      </c>
      <c r="F376">
        <f t="shared" si="5"/>
        <v>170</v>
      </c>
    </row>
    <row r="377" spans="1:6" x14ac:dyDescent="0.2">
      <c r="A377">
        <f>A376+'Inputs &amp; Outputs'!$B$6</f>
        <v>9.4247779607694415</v>
      </c>
      <c r="B377">
        <f>Calculations!$A$3*SIN(SQRT('Inputs &amp; Outputs'!$B$4/'Inputs &amp; Outputs'!$B$5)*A377+Calculations!$A$7)</f>
        <v>-7.9999999999999378</v>
      </c>
      <c r="C377">
        <f>SQRT('Inputs &amp; Outputs'!$B$4/'Inputs &amp; Outputs'!$B$5)*Calculations!$A$3*COS(SQRT('Inputs &amp; Outputs'!$B$4/'Inputs &amp; Outputs'!$B$5)*A377+Calculations!$A$7)</f>
        <v>1.0000000000001239</v>
      </c>
      <c r="D377">
        <f>1/2*'Inputs &amp; Outputs'!$B$5*'Analytical Steps'!C377^2</f>
        <v>10.000000000002478</v>
      </c>
      <c r="E377">
        <f>1/2*'Inputs &amp; Outputs'!$B$4*'Analytical Steps'!B377^2</f>
        <v>159.9999999999975</v>
      </c>
      <c r="F377">
        <f t="shared" si="5"/>
        <v>169.99999999999997</v>
      </c>
    </row>
    <row r="378" spans="1:6" x14ac:dyDescent="0.2">
      <c r="A378">
        <f>A377+'Inputs &amp; Outputs'!$B$6</f>
        <v>9.4499107019981601</v>
      </c>
      <c r="B378">
        <f>Calculations!$A$3*SIN(SQRT('Inputs &amp; Outputs'!$B$4/'Inputs &amp; Outputs'!$B$5)*A378+Calculations!$A$7)</f>
        <v>-7.9742362738637587</v>
      </c>
      <c r="C378">
        <f>SQRT('Inputs &amp; Outputs'!$B$4/'Inputs &amp; Outputs'!$B$5)*Calculations!$A$3*COS(SQRT('Inputs &amp; Outputs'!$B$4/'Inputs &amp; Outputs'!$B$5)*A378+Calculations!$A$7)</f>
        <v>1.0501852037373505</v>
      </c>
      <c r="D378">
        <f>1/2*'Inputs &amp; Outputs'!$B$5*'Analytical Steps'!C378^2</f>
        <v>11.028889621488602</v>
      </c>
      <c r="E378">
        <f>1/2*'Inputs &amp; Outputs'!$B$4*'Analytical Steps'!B378^2</f>
        <v>158.97111037851141</v>
      </c>
      <c r="F378">
        <f t="shared" si="5"/>
        <v>170</v>
      </c>
    </row>
    <row r="379" spans="1:6" x14ac:dyDescent="0.2">
      <c r="A379">
        <f>A378+'Inputs &amp; Outputs'!$B$6</f>
        <v>9.4750434432268786</v>
      </c>
      <c r="B379">
        <f>Calculations!$A$3*SIN(SQRT('Inputs &amp; Outputs'!$B$4/'Inputs &amp; Outputs'!$B$5)*A379+Calculations!$A$7)</f>
        <v>-7.947213323379656</v>
      </c>
      <c r="C379">
        <f>SQRT('Inputs &amp; Outputs'!$B$4/'Inputs &amp; Outputs'!$B$5)*Calculations!$A$3*COS(SQRT('Inputs &amp; Outputs'!$B$4/'Inputs &amp; Outputs'!$B$5)*A379+Calculations!$A$7)</f>
        <v>1.1002045710567738</v>
      </c>
      <c r="D379">
        <f>1/2*'Inputs &amp; Outputs'!$B$5*'Analytical Steps'!C379^2</f>
        <v>12.104500981742197</v>
      </c>
      <c r="E379">
        <f>1/2*'Inputs &amp; Outputs'!$B$4*'Analytical Steps'!B379^2</f>
        <v>157.89549901825779</v>
      </c>
      <c r="F379">
        <f t="shared" si="5"/>
        <v>170</v>
      </c>
    </row>
    <row r="380" spans="1:6" x14ac:dyDescent="0.2">
      <c r="A380">
        <f>A379+'Inputs &amp; Outputs'!$B$6</f>
        <v>9.5001761844555972</v>
      </c>
      <c r="B380">
        <f>Calculations!$A$3*SIN(SQRT('Inputs &amp; Outputs'!$B$4/'Inputs &amp; Outputs'!$B$5)*A380+Calculations!$A$7)</f>
        <v>-7.9189354157847722</v>
      </c>
      <c r="C380">
        <f>SQRT('Inputs &amp; Outputs'!$B$4/'Inputs &amp; Outputs'!$B$5)*Calculations!$A$3*COS(SQRT('Inputs &amp; Outputs'!$B$4/'Inputs &amp; Outputs'!$B$5)*A380+Calculations!$A$7)</f>
        <v>1.1500502033204512</v>
      </c>
      <c r="D380">
        <f>1/2*'Inputs &amp; Outputs'!$B$5*'Analytical Steps'!C380^2</f>
        <v>13.22615470157411</v>
      </c>
      <c r="E380">
        <f>1/2*'Inputs &amp; Outputs'!$B$4*'Analytical Steps'!B380^2</f>
        <v>156.77384529842587</v>
      </c>
      <c r="F380">
        <f t="shared" si="5"/>
        <v>169.99999999999997</v>
      </c>
    </row>
    <row r="381" spans="1:6" x14ac:dyDescent="0.2">
      <c r="A381">
        <f>A380+'Inputs &amp; Outputs'!$B$6</f>
        <v>9.5253089256843158</v>
      </c>
      <c r="B381">
        <f>Calculations!$A$3*SIN(SQRT('Inputs &amp; Outputs'!$B$4/'Inputs &amp; Outputs'!$B$5)*A381+Calculations!$A$7)</f>
        <v>-7.8894070164885255</v>
      </c>
      <c r="C381">
        <f>SQRT('Inputs &amp; Outputs'!$B$4/'Inputs &amp; Outputs'!$B$5)*Calculations!$A$3*COS(SQRT('Inputs &amp; Outputs'!$B$4/'Inputs &amp; Outputs'!$B$5)*A381+Calculations!$A$7)</f>
        <v>1.1997142293252194</v>
      </c>
      <c r="D381">
        <f>1/2*'Inputs &amp; Outputs'!$B$5*'Analytical Steps'!C381^2</f>
        <v>14.39314232045405</v>
      </c>
      <c r="E381">
        <f>1/2*'Inputs &amp; Outputs'!$B$4*'Analytical Steps'!B381^2</f>
        <v>155.60685767954593</v>
      </c>
      <c r="F381">
        <f t="shared" si="5"/>
        <v>169.99999999999997</v>
      </c>
    </row>
    <row r="382" spans="1:6" x14ac:dyDescent="0.2">
      <c r="A382">
        <f>A381+'Inputs &amp; Outputs'!$B$6</f>
        <v>9.5504416669130343</v>
      </c>
      <c r="B382">
        <f>Calculations!$A$3*SIN(SQRT('Inputs &amp; Outputs'!$B$4/'Inputs &amp; Outputs'!$B$5)*A382+Calculations!$A$7)</f>
        <v>-7.8586327883674674</v>
      </c>
      <c r="C382">
        <f>SQRT('Inputs &amp; Outputs'!$B$4/'Inputs &amp; Outputs'!$B$5)*Calculations!$A$3*COS(SQRT('Inputs &amp; Outputs'!$B$4/'Inputs &amp; Outputs'!$B$5)*A382+Calculations!$A$7)</f>
        <v>1.2491888065456489</v>
      </c>
      <c r="D382">
        <f>1/2*'Inputs &amp; Outputs'!$B$5*'Analytical Steps'!C382^2</f>
        <v>15.604726743989426</v>
      </c>
      <c r="E382">
        <f>1/2*'Inputs &amp; Outputs'!$B$4*'Analytical Steps'!B382^2</f>
        <v>154.3952732560106</v>
      </c>
      <c r="F382">
        <f t="shared" si="5"/>
        <v>170.00000000000003</v>
      </c>
    </row>
    <row r="383" spans="1:6" x14ac:dyDescent="0.2">
      <c r="A383">
        <f>A382+'Inputs &amp; Outputs'!$B$6</f>
        <v>9.5755744081417529</v>
      </c>
      <c r="B383">
        <f>Calculations!$A$3*SIN(SQRT('Inputs &amp; Outputs'!$B$4/'Inputs &amp; Outputs'!$B$5)*A383+Calculations!$A$7)</f>
        <v>-7.8266175910289641</v>
      </c>
      <c r="C383">
        <f>SQRT('Inputs &amp; Outputs'!$B$4/'Inputs &amp; Outputs'!$B$5)*Calculations!$A$3*COS(SQRT('Inputs &amp; Outputs'!$B$4/'Inputs &amp; Outputs'!$B$5)*A383+Calculations!$A$7)</f>
        <v>1.2984661223724685</v>
      </c>
      <c r="D383">
        <f>1/2*'Inputs &amp; Outputs'!$B$5*'Analytical Steps'!C383^2</f>
        <v>16.860142709489942</v>
      </c>
      <c r="E383">
        <f>1/2*'Inputs &amp; Outputs'!$B$4*'Analytical Steps'!B383^2</f>
        <v>153.13985729051007</v>
      </c>
      <c r="F383">
        <f t="shared" si="5"/>
        <v>170</v>
      </c>
    </row>
    <row r="384" spans="1:6" x14ac:dyDescent="0.2">
      <c r="A384">
        <f>A383+'Inputs &amp; Outputs'!$B$6</f>
        <v>9.6007071493704714</v>
      </c>
      <c r="B384">
        <f>Calculations!$A$3*SIN(SQRT('Inputs &amp; Outputs'!$B$4/'Inputs &amp; Outputs'!$B$5)*A384+Calculations!$A$7)</f>
        <v>-7.7933664800438081</v>
      </c>
      <c r="C384">
        <f>SQRT('Inputs &amp; Outputs'!$B$4/'Inputs &amp; Outputs'!$B$5)*Calculations!$A$3*COS(SQRT('Inputs &amp; Outputs'!$B$4/'Inputs &amp; Outputs'!$B$5)*A384+Calculations!$A$7)</f>
        <v>1.3475383953462687</v>
      </c>
      <c r="D384">
        <f>1/2*'Inputs &amp; Outputs'!$B$5*'Analytical Steps'!C384^2</f>
        <v>18.15859726932397</v>
      </c>
      <c r="E384">
        <f>1/2*'Inputs &amp; Outputs'!$B$4*'Analytical Steps'!B384^2</f>
        <v>151.84140273067604</v>
      </c>
      <c r="F384">
        <f t="shared" si="5"/>
        <v>170</v>
      </c>
    </row>
    <row r="385" spans="1:6" x14ac:dyDescent="0.2">
      <c r="A385">
        <f>A384+'Inputs &amp; Outputs'!$B$6</f>
        <v>9.62583989059919</v>
      </c>
      <c r="B385">
        <f>Calculations!$A$3*SIN(SQRT('Inputs &amp; Outputs'!$B$4/'Inputs &amp; Outputs'!$B$5)*A385+Calculations!$A$7)</f>
        <v>-7.7588847061478825</v>
      </c>
      <c r="C385">
        <f>SQRT('Inputs &amp; Outputs'!$B$4/'Inputs &amp; Outputs'!$B$5)*Calculations!$A$3*COS(SQRT('Inputs &amp; Outputs'!$B$4/'Inputs &amp; Outputs'!$B$5)*A385+Calculations!$A$7)</f>
        <v>1.3963978763862832</v>
      </c>
      <c r="D385">
        <f>1/2*'Inputs &amp; Outputs'!$B$5*'Analytical Steps'!C385^2</f>
        <v>19.499270291761214</v>
      </c>
      <c r="E385">
        <f>1/2*'Inputs &amp; Outputs'!$B$4*'Analytical Steps'!B385^2</f>
        <v>150.50072970823879</v>
      </c>
      <c r="F385">
        <f t="shared" si="5"/>
        <v>170</v>
      </c>
    </row>
    <row r="386" spans="1:6" x14ac:dyDescent="0.2">
      <c r="A386">
        <f>A385+'Inputs &amp; Outputs'!$B$6</f>
        <v>9.6509726318279085</v>
      </c>
      <c r="B386">
        <f>Calculations!$A$3*SIN(SQRT('Inputs &amp; Outputs'!$B$4/'Inputs &amp; Outputs'!$B$5)*A386+Calculations!$A$7)</f>
        <v>-7.723177714413012</v>
      </c>
      <c r="C386">
        <f>SQRT('Inputs &amp; Outputs'!$B$4/'Inputs &amp; Outputs'!$B$5)*Calculations!$A$3*COS(SQRT('Inputs &amp; Outputs'!$B$4/'Inputs &amp; Outputs'!$B$5)*A386+Calculations!$A$7)</f>
        <v>1.4450368500140585</v>
      </c>
      <c r="D386">
        <f>1/2*'Inputs &amp; Outputs'!$B$5*'Analytical Steps'!C386^2</f>
        <v>20.881314978985522</v>
      </c>
      <c r="E386">
        <f>1/2*'Inputs &amp; Outputs'!$B$4*'Analytical Steps'!B386^2</f>
        <v>149.11868502101447</v>
      </c>
      <c r="F386">
        <f t="shared" si="5"/>
        <v>170</v>
      </c>
    </row>
    <row r="387" spans="1:6" x14ac:dyDescent="0.2">
      <c r="A387">
        <f>A386+'Inputs &amp; Outputs'!$B$6</f>
        <v>9.6761053730566271</v>
      </c>
      <c r="B387">
        <f>Calculations!$A$3*SIN(SQRT('Inputs &amp; Outputs'!$B$4/'Inputs &amp; Outputs'!$B$5)*A387+Calculations!$A$7)</f>
        <v>-7.6862511433871186</v>
      </c>
      <c r="C387">
        <f>SQRT('Inputs &amp; Outputs'!$B$4/'Inputs &amp; Outputs'!$B$5)*Calculations!$A$3*COS(SQRT('Inputs &amp; Outputs'!$B$4/'Inputs &amp; Outputs'!$B$5)*A387+Calculations!$A$7)</f>
        <v>1.4934476355718178</v>
      </c>
      <c r="D387">
        <f>1/2*'Inputs &amp; Outputs'!$B$5*'Analytical Steps'!C387^2</f>
        <v>22.303858401950531</v>
      </c>
      <c r="E387">
        <f>1/2*'Inputs &amp; Outputs'!$B$4*'Analytical Steps'!B387^2</f>
        <v>147.69614159804948</v>
      </c>
      <c r="F387">
        <f t="shared" ref="F387:F450" si="6">SUM(D387:E387)</f>
        <v>170</v>
      </c>
    </row>
    <row r="388" spans="1:6" x14ac:dyDescent="0.2">
      <c r="A388">
        <f>A387+'Inputs &amp; Outputs'!$B$6</f>
        <v>9.7012381142853457</v>
      </c>
      <c r="B388">
        <f>Calculations!$A$3*SIN(SQRT('Inputs &amp; Outputs'!$B$4/'Inputs &amp; Outputs'!$B$5)*A388+Calculations!$A$7)</f>
        <v>-7.6481108242038349</v>
      </c>
      <c r="C388">
        <f>SQRT('Inputs &amp; Outputs'!$B$4/'Inputs &amp; Outputs'!$B$5)*Calculations!$A$3*COS(SQRT('Inputs &amp; Outputs'!$B$4/'Inputs &amp; Outputs'!$B$5)*A388+Calculations!$A$7)</f>
        <v>1.5416225884353263</v>
      </c>
      <c r="D388">
        <f>1/2*'Inputs &amp; Outputs'!$B$5*'Analytical Steps'!C388^2</f>
        <v>23.766002051740355</v>
      </c>
      <c r="E388">
        <f>1/2*'Inputs &amp; Outputs'!$B$4*'Analytical Steps'!B388^2</f>
        <v>146.23399794825966</v>
      </c>
      <c r="F388">
        <f t="shared" si="6"/>
        <v>170</v>
      </c>
    </row>
    <row r="389" spans="1:6" x14ac:dyDescent="0.2">
      <c r="A389">
        <f>A388+'Inputs &amp; Outputs'!$B$6</f>
        <v>9.7263708555140642</v>
      </c>
      <c r="B389">
        <f>Calculations!$A$3*SIN(SQRT('Inputs &amp; Outputs'!$B$4/'Inputs &amp; Outputs'!$B$5)*A389+Calculations!$A$7)</f>
        <v>-7.6087627796616957</v>
      </c>
      <c r="C389">
        <f>SQRT('Inputs &amp; Outputs'!$B$4/'Inputs &amp; Outputs'!$B$5)*Calculations!$A$3*COS(SQRT('Inputs &amp; Outputs'!$B$4/'Inputs &amp; Outputs'!$B$5)*A389+Calculations!$A$7)</f>
        <v>1.5895541012210648</v>
      </c>
      <c r="D389">
        <f>1/2*'Inputs &amp; Outputs'!$B$5*'Analytical Steps'!C389^2</f>
        <v>25.266822407087069</v>
      </c>
      <c r="E389">
        <f>1/2*'Inputs &amp; Outputs'!$B$4*'Analytical Steps'!B389^2</f>
        <v>144.73317759291294</v>
      </c>
      <c r="F389">
        <f t="shared" si="6"/>
        <v>170</v>
      </c>
    </row>
    <row r="390" spans="1:6" x14ac:dyDescent="0.2">
      <c r="A390">
        <f>A389+'Inputs &amp; Outputs'!$B$6</f>
        <v>9.7515035967427828</v>
      </c>
      <c r="B390">
        <f>Calculations!$A$3*SIN(SQRT('Inputs &amp; Outputs'!$B$4/'Inputs &amp; Outputs'!$B$5)*A390+Calculations!$A$7)</f>
        <v>-7.5682132232730712</v>
      </c>
      <c r="C390">
        <f>SQRT('Inputs &amp; Outputs'!$B$4/'Inputs &amp; Outputs'!$B$5)*Calculations!$A$3*COS(SQRT('Inputs &amp; Outputs'!$B$4/'Inputs &amp; Outputs'!$B$5)*A390+Calculations!$A$7)</f>
        <v>1.637234604987525</v>
      </c>
      <c r="D390">
        <f>1/2*'Inputs &amp; Outputs'!$B$5*'Analytical Steps'!C390^2</f>
        <v>26.805371517686574</v>
      </c>
      <c r="E390">
        <f>1/2*'Inputs &amp; Outputs'!$B$4*'Analytical Steps'!B390^2</f>
        <v>143.19462848231342</v>
      </c>
      <c r="F390">
        <f t="shared" si="6"/>
        <v>170</v>
      </c>
    </row>
    <row r="391" spans="1:6" x14ac:dyDescent="0.2">
      <c r="A391">
        <f>A390+'Inputs &amp; Outputs'!$B$6</f>
        <v>9.7766363379715013</v>
      </c>
      <c r="B391">
        <f>Calculations!$A$3*SIN(SQRT('Inputs &amp; Outputs'!$B$4/'Inputs &amp; Outputs'!$B$5)*A391+Calculations!$A$7)</f>
        <v>-7.526468558282982</v>
      </c>
      <c r="C391">
        <f>SQRT('Inputs &amp; Outputs'!$B$4/'Inputs &amp; Outputs'!$B$5)*Calculations!$A$3*COS(SQRT('Inputs &amp; Outputs'!$B$4/'Inputs &amp; Outputs'!$B$5)*A391+Calculations!$A$7)</f>
        <v>1.6846565704304317</v>
      </c>
      <c r="D391">
        <f>1/2*'Inputs &amp; Outputs'!$B$5*'Analytical Steps'!C391^2</f>
        <v>28.380677602944239</v>
      </c>
      <c r="E391">
        <f>1/2*'Inputs &amp; Outputs'!$B$4*'Analytical Steps'!B391^2</f>
        <v>141.61932239705578</v>
      </c>
      <c r="F391">
        <f t="shared" si="6"/>
        <v>170.00000000000003</v>
      </c>
    </row>
    <row r="392" spans="1:6" x14ac:dyDescent="0.2">
      <c r="A392">
        <f>A391+'Inputs &amp; Outputs'!$B$6</f>
        <v>9.8017690792002199</v>
      </c>
      <c r="B392">
        <f>Calculations!$A$3*SIN(SQRT('Inputs &amp; Outputs'!$B$4/'Inputs &amp; Outputs'!$B$5)*A392+Calculations!$A$7)</f>
        <v>-7.4835353766579473</v>
      </c>
      <c r="C392">
        <f>SQRT('Inputs &amp; Outputs'!$B$4/'Inputs &amp; Outputs'!$B$5)*Calculations!$A$3*COS(SQRT('Inputs &amp; Outputs'!$B$4/'Inputs &amp; Outputs'!$B$5)*A392+Calculations!$A$7)</f>
        <v>1.7318125090717091</v>
      </c>
      <c r="D392">
        <f>1/2*'Inputs &amp; Outputs'!$B$5*'Analytical Steps'!C392^2</f>
        <v>29.991745665772488</v>
      </c>
      <c r="E392">
        <f>1/2*'Inputs &amp; Outputs'!$B$4*'Analytical Steps'!B392^2</f>
        <v>140.0082543342275</v>
      </c>
      <c r="F392">
        <f t="shared" si="6"/>
        <v>170</v>
      </c>
    </row>
    <row r="393" spans="1:6" x14ac:dyDescent="0.2">
      <c r="A393">
        <f>A392+'Inputs &amp; Outputs'!$B$6</f>
        <v>9.8269018204289384</v>
      </c>
      <c r="B393">
        <f>Calculations!$A$3*SIN(SQRT('Inputs &amp; Outputs'!$B$4/'Inputs &amp; Outputs'!$B$5)*A393+Calculations!$A$7)</f>
        <v>-7.4394204580450447</v>
      </c>
      <c r="C393">
        <f>SQRT('Inputs &amp; Outputs'!$B$4/'Inputs &amp; Outputs'!$B$5)*Calculations!$A$3*COS(SQRT('Inputs &amp; Outputs'!$B$4/'Inputs &amp; Outputs'!$B$5)*A393+Calculations!$A$7)</f>
        <v>1.7786949744419964</v>
      </c>
      <c r="D393">
        <f>1/2*'Inputs &amp; Outputs'!$B$5*'Analytical Steps'!C393^2</f>
        <v>31.637558121052145</v>
      </c>
      <c r="E393">
        <f>1/2*'Inputs &amp; Outputs'!$B$4*'Analytical Steps'!B393^2</f>
        <v>138.36244187894783</v>
      </c>
      <c r="F393">
        <f t="shared" si="6"/>
        <v>169.99999999999997</v>
      </c>
    </row>
    <row r="394" spans="1:6" x14ac:dyDescent="0.2">
      <c r="A394">
        <f>A393+'Inputs &amp; Outputs'!$B$6</f>
        <v>9.852034561657657</v>
      </c>
      <c r="B394">
        <f>Calculations!$A$3*SIN(SQRT('Inputs &amp; Outputs'!$B$4/'Inputs &amp; Outputs'!$B$5)*A394+Calculations!$A$7)</f>
        <v>-7.3941307687013182</v>
      </c>
      <c r="C394">
        <f>SQRT('Inputs &amp; Outputs'!$B$4/'Inputs &amp; Outputs'!$B$5)*Calculations!$A$3*COS(SQRT('Inputs &amp; Outputs'!$B$4/'Inputs &amp; Outputs'!$B$5)*A394+Calculations!$A$7)</f>
        <v>1.8252965632565332</v>
      </c>
      <c r="D394">
        <f>1/2*'Inputs &amp; Outputs'!$B$5*'Analytical Steps'!C394^2</f>
        <v>33.317075438361115</v>
      </c>
      <c r="E394">
        <f>1/2*'Inputs &amp; Outputs'!$B$4*'Analytical Steps'!B394^2</f>
        <v>136.68292456163886</v>
      </c>
      <c r="F394">
        <f t="shared" si="6"/>
        <v>169.99999999999997</v>
      </c>
    </row>
    <row r="395" spans="1:6" x14ac:dyDescent="0.2">
      <c r="A395">
        <f>A394+'Inputs &amp; Outputs'!$B$6</f>
        <v>9.8771673028863756</v>
      </c>
      <c r="B395">
        <f>Calculations!$A$3*SIN(SQRT('Inputs &amp; Outputs'!$B$4/'Inputs &amp; Outputs'!$B$5)*A395+Calculations!$A$7)</f>
        <v>-7.3476734603937315</v>
      </c>
      <c r="C395">
        <f>SQRT('Inputs &amp; Outputs'!$B$4/'Inputs &amp; Outputs'!$B$5)*Calculations!$A$3*COS(SQRT('Inputs &amp; Outputs'!$B$4/'Inputs &amp; Outputs'!$B$5)*A395+Calculations!$A$7)</f>
        <v>1.8716099165842226</v>
      </c>
      <c r="D395">
        <f>1/2*'Inputs &amp; Outputs'!$B$5*'Analytical Steps'!C395^2</f>
        <v>35.029236798564007</v>
      </c>
      <c r="E395">
        <f>1/2*'Inputs &amp; Outputs'!$B$4*'Analytical Steps'!B395^2</f>
        <v>134.970763201436</v>
      </c>
      <c r="F395">
        <f t="shared" si="6"/>
        <v>170</v>
      </c>
    </row>
    <row r="396" spans="1:6" x14ac:dyDescent="0.2">
      <c r="A396">
        <f>A395+'Inputs &amp; Outputs'!$B$6</f>
        <v>9.9023000441150941</v>
      </c>
      <c r="B396">
        <f>Calculations!$A$3*SIN(SQRT('Inputs &amp; Outputs'!$B$4/'Inputs &amp; Outputs'!$B$5)*A396+Calculations!$A$7)</f>
        <v>-7.3000558692698156</v>
      </c>
      <c r="C396">
        <f>SQRT('Inputs &amp; Outputs'!$B$4/'Inputs &amp; Outputs'!$B$5)*Calculations!$A$3*COS(SQRT('Inputs &amp; Outputs'!$B$4/'Inputs &amp; Outputs'!$B$5)*A396+Calculations!$A$7)</f>
        <v>1.9176277210096933</v>
      </c>
      <c r="D396">
        <f>1/2*'Inputs &amp; Outputs'!$B$5*'Analytical Steps'!C396^2</f>
        <v>36.772960763848303</v>
      </c>
      <c r="E396">
        <f>1/2*'Inputs &amp; Outputs'!$B$4*'Analytical Steps'!B396^2</f>
        <v>133.22703923615171</v>
      </c>
      <c r="F396">
        <f t="shared" si="6"/>
        <v>170</v>
      </c>
    </row>
    <row r="397" spans="1:6" x14ac:dyDescent="0.2">
      <c r="A397">
        <f>A396+'Inputs &amp; Outputs'!$B$6</f>
        <v>9.9274327853438127</v>
      </c>
      <c r="B397">
        <f>Calculations!$A$3*SIN(SQRT('Inputs &amp; Outputs'!$B$4/'Inputs &amp; Outputs'!$B$5)*A397+Calculations!$A$7)</f>
        <v>-7.2512855146992088</v>
      </c>
      <c r="C397">
        <f>SQRT('Inputs &amp; Outputs'!$B$4/'Inputs &amp; Outputs'!$B$5)*Calculations!$A$3*COS(SQRT('Inputs &amp; Outputs'!$B$4/'Inputs &amp; Outputs'!$B$5)*A397+Calculations!$A$7)</f>
        <v>1.9633427097881702</v>
      </c>
      <c r="D397">
        <f>1/2*'Inputs &amp; Outputs'!$B$5*'Analytical Steps'!C397^2</f>
        <v>38.547145960783553</v>
      </c>
      <c r="E397">
        <f>1/2*'Inputs &amp; Outputs'!$B$4*'Analytical Steps'!B397^2</f>
        <v>131.45285403921642</v>
      </c>
      <c r="F397">
        <f t="shared" si="6"/>
        <v>169.99999999999997</v>
      </c>
    </row>
    <row r="398" spans="1:6" x14ac:dyDescent="0.2">
      <c r="A398">
        <f>A397+'Inputs &amp; Outputs'!$B$6</f>
        <v>9.9525655265725312</v>
      </c>
      <c r="B398">
        <f>Calculations!$A$3*SIN(SQRT('Inputs &amp; Outputs'!$B$4/'Inputs &amp; Outputs'!$B$5)*A398+Calculations!$A$7)</f>
        <v>-7.2013700980862634</v>
      </c>
      <c r="C398">
        <f>SQRT('Inputs &amp; Outputs'!$B$4/'Inputs &amp; Outputs'!$B$5)*Calculations!$A$3*COS(SQRT('Inputs &amp; Outputs'!$B$4/'Inputs &amp; Outputs'!$B$5)*A398+Calculations!$A$7)</f>
        <v>2.0087476639929811</v>
      </c>
      <c r="D398">
        <f>1/2*'Inputs &amp; Outputs'!$B$5*'Analytical Steps'!C398^2</f>
        <v>40.350671775972586</v>
      </c>
      <c r="E398">
        <f>1/2*'Inputs &amp; Outputs'!$B$4*'Analytical Steps'!B398^2</f>
        <v>129.64932822402739</v>
      </c>
      <c r="F398">
        <f t="shared" si="6"/>
        <v>169.99999999999997</v>
      </c>
    </row>
    <row r="399" spans="1:6" x14ac:dyDescent="0.2">
      <c r="A399">
        <f>A398+'Inputs &amp; Outputs'!$B$6</f>
        <v>9.9776982678012498</v>
      </c>
      <c r="B399">
        <f>Calculations!$A$3*SIN(SQRT('Inputs &amp; Outputs'!$B$4/'Inputs &amp; Outputs'!$B$5)*A399+Calculations!$A$7)</f>
        <v>-7.1503175016539</v>
      </c>
      <c r="C399">
        <f>SQRT('Inputs &amp; Outputs'!$B$4/'Inputs &amp; Outputs'!$B$5)*Calculations!$A$3*COS(SQRT('Inputs &amp; Outputs'!$B$4/'Inputs &amp; Outputs'!$B$5)*A399+Calculations!$A$7)</f>
        <v>2.0538354136555057</v>
      </c>
      <c r="D399">
        <f>1/2*'Inputs &amp; Outputs'!$B$5*'Analytical Steps'!C399^2</f>
        <v>42.182399063854817</v>
      </c>
      <c r="E399">
        <f>1/2*'Inputs &amp; Outputs'!$B$4*'Analytical Steps'!B399^2</f>
        <v>127.81760093614517</v>
      </c>
      <c r="F399">
        <f t="shared" si="6"/>
        <v>170</v>
      </c>
    </row>
    <row r="400" spans="1:6" x14ac:dyDescent="0.2">
      <c r="A400">
        <f>A399+'Inputs &amp; Outputs'!$B$6</f>
        <v>10.002831009029968</v>
      </c>
      <c r="B400">
        <f>Calculations!$A$3*SIN(SQRT('Inputs &amp; Outputs'!$B$4/'Inputs &amp; Outputs'!$B$5)*A400+Calculations!$A$7)</f>
        <v>-7.098135787198915</v>
      </c>
      <c r="C400">
        <f>SQRT('Inputs &amp; Outputs'!$B$4/'Inputs &amp; Outputs'!$B$5)*Calculations!$A$3*COS(SQRT('Inputs &amp; Outputs'!$B$4/'Inputs &amp; Outputs'!$B$5)*A400+Calculations!$A$7)</f>
        <v>2.0985988388973991</v>
      </c>
      <c r="D400">
        <f>1/2*'Inputs &amp; Outputs'!$B$5*'Analytical Steps'!C400^2</f>
        <v>44.041170866215111</v>
      </c>
      <c r="E400">
        <f>1/2*'Inputs &amp; Outputs'!$B$4*'Analytical Steps'!B400^2</f>
        <v>125.9588291337849</v>
      </c>
      <c r="F400">
        <f t="shared" si="6"/>
        <v>170</v>
      </c>
    </row>
    <row r="401" spans="1:6" x14ac:dyDescent="0.2">
      <c r="A401">
        <f>A400+'Inputs &amp; Outputs'!$B$6</f>
        <v>10.027963750258687</v>
      </c>
      <c r="B401">
        <f>Calculations!$A$3*SIN(SQRT('Inputs &amp; Outputs'!$B$4/'Inputs &amp; Outputs'!$B$5)*A401+Calculations!$A$7)</f>
        <v>-7.0448331948189304</v>
      </c>
      <c r="C401">
        <f>SQRT('Inputs &amp; Outputs'!$B$4/'Inputs &amp; Outputs'!$B$5)*Calculations!$A$3*COS(SQRT('Inputs &amp; Outputs'!$B$4/'Inputs &amp; Outputs'!$B$5)*A401+Calculations!$A$7)</f>
        <v>2.1430308710549006</v>
      </c>
      <c r="D401">
        <f>1/2*'Inputs &amp; Outputs'!$B$5*'Analytical Steps'!C401^2</f>
        <v>45.925813142943269</v>
      </c>
      <c r="E401">
        <f>1/2*'Inputs &amp; Outputs'!$B$4*'Analytical Steps'!B401^2</f>
        <v>124.07418685705676</v>
      </c>
      <c r="F401">
        <f t="shared" si="6"/>
        <v>170.00000000000003</v>
      </c>
    </row>
    <row r="402" spans="1:6" x14ac:dyDescent="0.2">
      <c r="A402">
        <f>A401+'Inputs &amp; Outputs'!$B$6</f>
        <v>10.053096491487405</v>
      </c>
      <c r="B402">
        <f>Calculations!$A$3*SIN(SQRT('Inputs &amp; Outputs'!$B$4/'Inputs &amp; Outputs'!$B$5)*A402+Calculations!$A$7)</f>
        <v>-6.9904181416111868</v>
      </c>
      <c r="C402">
        <f>SQRT('Inputs &amp; Outputs'!$B$4/'Inputs &amp; Outputs'!$B$5)*Calculations!$A$3*COS(SQRT('Inputs &amp; Outputs'!$B$4/'Inputs &amp; Outputs'!$B$5)*A402+Calculations!$A$7)</f>
        <v>2.1871244937950607</v>
      </c>
      <c r="D402">
        <f>1/2*'Inputs &amp; Outputs'!$B$5*'Analytical Steps'!C402^2</f>
        <v>47.835135513583005</v>
      </c>
      <c r="E402">
        <f>1/2*'Inputs &amp; Outputs'!$B$4*'Analytical Steps'!B402^2</f>
        <v>122.164864486417</v>
      </c>
      <c r="F402">
        <f t="shared" si="6"/>
        <v>170</v>
      </c>
    </row>
    <row r="403" spans="1:6" x14ac:dyDescent="0.2">
      <c r="A403">
        <f>A402+'Inputs &amp; Outputs'!$B$6</f>
        <v>10.078229232716124</v>
      </c>
      <c r="B403">
        <f>Calculations!$A$3*SIN(SQRT('Inputs &amp; Outputs'!$B$4/'Inputs &amp; Outputs'!$B$5)*A403+Calculations!$A$7)</f>
        <v>-6.9348992203433841</v>
      </c>
      <c r="C403">
        <f>SQRT('Inputs &amp; Outputs'!$B$4/'Inputs &amp; Outputs'!$B$5)*Calculations!$A$3*COS(SQRT('Inputs &amp; Outputs'!$B$4/'Inputs &amp; Outputs'!$B$5)*A403+Calculations!$A$7)</f>
        <v>2.2308727442236993</v>
      </c>
      <c r="D403">
        <f>1/2*'Inputs &amp; Outputs'!$B$5*'Analytical Steps'!C403^2</f>
        <v>49.767932009201786</v>
      </c>
      <c r="E403">
        <f>1/2*'Inputs &amp; Outputs'!$B$4*'Analytical Steps'!B403^2</f>
        <v>120.23206799079819</v>
      </c>
      <c r="F403">
        <f t="shared" si="6"/>
        <v>169.99999999999997</v>
      </c>
    </row>
    <row r="404" spans="1:6" x14ac:dyDescent="0.2">
      <c r="A404">
        <f>A403+'Inputs &amp; Outputs'!$B$6</f>
        <v>10.103361973944843</v>
      </c>
      <c r="B404">
        <f>Calculations!$A$3*SIN(SQRT('Inputs &amp; Outputs'!$B$4/'Inputs &amp; Outputs'!$B$5)*A404+Calculations!$A$7)</f>
        <v>-6.8782851980967878</v>
      </c>
      <c r="C404">
        <f>SQRT('Inputs &amp; Outputs'!$B$4/'Inputs &amp; Outputs'!$B$5)*Calculations!$A$3*COS(SQRT('Inputs &amp; Outputs'!$B$4/'Inputs &amp; Outputs'!$B$5)*A404+Calculations!$A$7)</f>
        <v>2.2742687139849274</v>
      </c>
      <c r="D404">
        <f>1/2*'Inputs &amp; Outputs'!$B$5*'Analytical Steps'!C404^2</f>
        <v>51.722981834106548</v>
      </c>
      <c r="E404">
        <f>1/2*'Inputs &amp; Outputs'!$B$4*'Analytical Steps'!B404^2</f>
        <v>118.27701816589341</v>
      </c>
      <c r="F404">
        <f t="shared" si="6"/>
        <v>169.99999999999994</v>
      </c>
    </row>
    <row r="405" spans="1:6" x14ac:dyDescent="0.2">
      <c r="A405">
        <f>A404+'Inputs &amp; Outputs'!$B$6</f>
        <v>10.128494715173561</v>
      </c>
      <c r="B405">
        <f>Calculations!$A$3*SIN(SQRT('Inputs &amp; Outputs'!$B$4/'Inputs &amp; Outputs'!$B$5)*A405+Calculations!$A$7)</f>
        <v>-6.820585014881801</v>
      </c>
      <c r="C405">
        <f>SQRT('Inputs &amp; Outputs'!$B$4/'Inputs &amp; Outputs'!$B$5)*Calculations!$A$3*COS(SQRT('Inputs &amp; Outputs'!$B$4/'Inputs &amp; Outputs'!$B$5)*A405+Calculations!$A$7)</f>
        <v>2.3173055503520583</v>
      </c>
      <c r="D405">
        <f>1/2*'Inputs &amp; Outputs'!$B$5*'Analytical Steps'!C405^2</f>
        <v>53.699050136924562</v>
      </c>
      <c r="E405">
        <f>1/2*'Inputs &amp; Outputs'!$B$4*'Analytical Steps'!B405^2</f>
        <v>116.30094986307543</v>
      </c>
      <c r="F405">
        <f t="shared" si="6"/>
        <v>170</v>
      </c>
    </row>
    <row r="406" spans="1:6" x14ac:dyDescent="0.2">
      <c r="A406">
        <f>A405+'Inputs &amp; Outputs'!$B$6</f>
        <v>10.15362745640228</v>
      </c>
      <c r="B406">
        <f>Calculations!$A$3*SIN(SQRT('Inputs &amp; Outputs'!$B$4/'Inputs &amp; Outputs'!$B$5)*A406+Calculations!$A$7)</f>
        <v>-6.7618077822262341</v>
      </c>
      <c r="C406">
        <f>SQRT('Inputs &amp; Outputs'!$B$4/'Inputs &amp; Outputs'!$B$5)*Calculations!$A$3*COS(SQRT('Inputs &amp; Outputs'!$B$4/'Inputs &amp; Outputs'!$B$5)*A406+Calculations!$A$7)</f>
        <v>2.3599764573097302</v>
      </c>
      <c r="D406">
        <f>1/2*'Inputs &amp; Outputs'!$B$5*'Analytical Steps'!C406^2</f>
        <v>55.694888790561848</v>
      </c>
      <c r="E406">
        <f>1/2*'Inputs &amp; Outputs'!$B$4*'Analytical Steps'!B406^2</f>
        <v>114.30511120943817</v>
      </c>
      <c r="F406">
        <f t="shared" si="6"/>
        <v>170</v>
      </c>
    </row>
    <row r="407" spans="1:6" x14ac:dyDescent="0.2">
      <c r="A407">
        <f>A406+'Inputs &amp; Outputs'!$B$6</f>
        <v>10.178760197630998</v>
      </c>
      <c r="B407">
        <f>Calculations!$A$3*SIN(SQRT('Inputs &amp; Outputs'!$B$4/'Inputs &amp; Outputs'!$B$5)*A407+Calculations!$A$7)</f>
        <v>-6.7019627817364915</v>
      </c>
      <c r="C407">
        <f>SQRT('Inputs &amp; Outputs'!$B$4/'Inputs &amp; Outputs'!$B$5)*Calculations!$A$3*COS(SQRT('Inputs &amp; Outputs'!$B$4/'Inputs &amp; Outputs'!$B$5)*A407+Calculations!$A$7)</f>
        <v>2.4022746966270776</v>
      </c>
      <c r="D407">
        <f>1/2*'Inputs &amp; Outputs'!$B$5*'Analytical Steps'!C407^2</f>
        <v>57.709237180547177</v>
      </c>
      <c r="E407">
        <f>1/2*'Inputs &amp; Outputs'!$B$4*'Analytical Steps'!B407^2</f>
        <v>112.29076281945282</v>
      </c>
      <c r="F407">
        <f t="shared" si="6"/>
        <v>170</v>
      </c>
    </row>
    <row r="408" spans="1:6" x14ac:dyDescent="0.2">
      <c r="A408">
        <f>A407+'Inputs &amp; Outputs'!$B$6</f>
        <v>10.203892938859717</v>
      </c>
      <c r="B408">
        <f>Calculations!$A$3*SIN(SQRT('Inputs &amp; Outputs'!$B$4/'Inputs &amp; Outputs'!$B$5)*A408+Calculations!$A$7)</f>
        <v>-6.6410594636318949</v>
      </c>
      <c r="C408">
        <f>SQRT('Inputs &amp; Outputs'!$B$4/'Inputs &amp; Outputs'!$B$5)*Calculations!$A$3*COS(SQRT('Inputs &amp; Outputs'!$B$4/'Inputs &amp; Outputs'!$B$5)*A408+Calculations!$A$7)</f>
        <v>2.4441935889217765</v>
      </c>
      <c r="D408">
        <f>1/2*'Inputs &amp; Outputs'!$B$5*'Analytical Steps'!C408^2</f>
        <v>59.740823001263138</v>
      </c>
      <c r="E408">
        <f>1/2*'Inputs &amp; Outputs'!$B$4*'Analytical Steps'!B408^2</f>
        <v>110.25917699873688</v>
      </c>
      <c r="F408">
        <f t="shared" si="6"/>
        <v>170</v>
      </c>
    </row>
    <row r="409" spans="1:6" x14ac:dyDescent="0.2">
      <c r="A409">
        <f>A408+'Inputs &amp; Outputs'!$B$6</f>
        <v>10.229025680088435</v>
      </c>
      <c r="B409">
        <f>Calculations!$A$3*SIN(SQRT('Inputs &amp; Outputs'!$B$4/'Inputs &amp; Outputs'!$B$5)*A409+Calculations!$A$7)</f>
        <v>-6.5791074452523874</v>
      </c>
      <c r="C409">
        <f>SQRT('Inputs &amp; Outputs'!$B$4/'Inputs &amp; Outputs'!$B$5)*Calculations!$A$3*COS(SQRT('Inputs &amp; Outputs'!$B$4/'Inputs &amp; Outputs'!$B$5)*A409+Calculations!$A$7)</f>
        <v>2.4857265147147931</v>
      </c>
      <c r="D409">
        <f>1/2*'Inputs &amp; Outputs'!$B$5*'Analytical Steps'!C409^2</f>
        <v>61.788363059561526</v>
      </c>
      <c r="E409">
        <f>1/2*'Inputs &amp; Outputs'!$B$4*'Analytical Steps'!B409^2</f>
        <v>108.21163694043848</v>
      </c>
      <c r="F409">
        <f t="shared" si="6"/>
        <v>170</v>
      </c>
    </row>
    <row r="410" spans="1:6" x14ac:dyDescent="0.2">
      <c r="A410">
        <f>A409+'Inputs &amp; Outputs'!$B$6</f>
        <v>10.254158421317154</v>
      </c>
      <c r="B410">
        <f>Calculations!$A$3*SIN(SQRT('Inputs &amp; Outputs'!$B$4/'Inputs &amp; Outputs'!$B$5)*A410+Calculations!$A$7)</f>
        <v>-6.5161165095398408</v>
      </c>
      <c r="C410">
        <f>SQRT('Inputs &amp; Outputs'!$B$4/'Inputs &amp; Outputs'!$B$5)*Calculations!$A$3*COS(SQRT('Inputs &amp; Outputs'!$B$4/'Inputs &amp; Outputs'!$B$5)*A410+Calculations!$A$7)</f>
        <v>2.5268669154756807</v>
      </c>
      <c r="D410">
        <f>1/2*'Inputs &amp; Outputs'!$B$5*'Analytical Steps'!C410^2</f>
        <v>63.850564085255812</v>
      </c>
      <c r="E410">
        <f>1/2*'Inputs &amp; Outputs'!$B$4*'Analytical Steps'!B410^2</f>
        <v>106.1494359147442</v>
      </c>
      <c r="F410">
        <f t="shared" si="6"/>
        <v>170</v>
      </c>
    </row>
    <row r="411" spans="1:6" x14ac:dyDescent="0.2">
      <c r="A411">
        <f>A410+'Inputs &amp; Outputs'!$B$6</f>
        <v>10.279291162545872</v>
      </c>
      <c r="B411">
        <f>Calculations!$A$3*SIN(SQRT('Inputs &amp; Outputs'!$B$4/'Inputs &amp; Outputs'!$B$5)*A411+Calculations!$A$7)</f>
        <v>-6.4520966034932199</v>
      </c>
      <c r="C411">
        <f>SQRT('Inputs &amp; Outputs'!$B$4/'Inputs &amp; Outputs'!$B$5)*Calculations!$A$3*COS(SQRT('Inputs &amp; Outputs'!$B$4/'Inputs &amp; Outputs'!$B$5)*A411+Calculations!$A$7)</f>
        <v>2.5676082946582439</v>
      </c>
      <c r="D411">
        <f>1/2*'Inputs &amp; Outputs'!$B$5*'Analytical Steps'!C411^2</f>
        <v>65.926123547978165</v>
      </c>
      <c r="E411">
        <f>1/2*'Inputs &amp; Outputs'!$B$4*'Analytical Steps'!B411^2</f>
        <v>104.07387645202186</v>
      </c>
      <c r="F411">
        <f t="shared" si="6"/>
        <v>170.00000000000003</v>
      </c>
    </row>
    <row r="412" spans="1:6" x14ac:dyDescent="0.2">
      <c r="A412">
        <f>A411+'Inputs &amp; Outputs'!$B$6</f>
        <v>10.304423903774591</v>
      </c>
      <c r="B412">
        <f>Calculations!$A$3*SIN(SQRT('Inputs &amp; Outputs'!$B$4/'Inputs &amp; Outputs'!$B$5)*A412+Calculations!$A$7)</f>
        <v>-6.3870578365978297</v>
      </c>
      <c r="C412">
        <f>SQRT('Inputs &amp; Outputs'!$B$4/'Inputs &amp; Outputs'!$B$5)*Calculations!$A$3*COS(SQRT('Inputs &amp; Outputs'!$B$4/'Inputs &amp; Outputs'!$B$5)*A412+Calculations!$A$7)</f>
        <v>2.6079442187264208</v>
      </c>
      <c r="D412">
        <f>1/2*'Inputs &amp; Outputs'!$B$5*'Analytical Steps'!C412^2</f>
        <v>68.013730479885609</v>
      </c>
      <c r="E412">
        <f>1/2*'Inputs &amp; Outputs'!$B$4*'Analytical Steps'!B412^2</f>
        <v>101.98626952011438</v>
      </c>
      <c r="F412">
        <f t="shared" si="6"/>
        <v>170</v>
      </c>
    </row>
    <row r="413" spans="1:6" x14ac:dyDescent="0.2">
      <c r="A413">
        <f>A412+'Inputs &amp; Outputs'!$B$6</f>
        <v>10.32955664500331</v>
      </c>
      <c r="B413">
        <f>Calculations!$A$3*SIN(SQRT('Inputs &amp; Outputs'!$B$4/'Inputs &amp; Outputs'!$B$5)*A413+Calculations!$A$7)</f>
        <v>-6.321010479228919</v>
      </c>
      <c r="C413">
        <f>SQRT('Inputs &amp; Outputs'!$B$4/'Inputs &amp; Outputs'!$B$5)*Calculations!$A$3*COS(SQRT('Inputs &amp; Outputs'!$B$4/'Inputs &amp; Outputs'!$B$5)*A413+Calculations!$A$7)</f>
        <v>2.6478683181702123</v>
      </c>
      <c r="D413">
        <f>1/2*'Inputs &amp; Outputs'!$B$5*'Analytical Steps'!C413^2</f>
        <v>70.112066303695485</v>
      </c>
      <c r="E413">
        <f>1/2*'Inputs &amp; Outputs'!$B$4*'Analytical Steps'!B413^2</f>
        <v>99.887933696304515</v>
      </c>
      <c r="F413">
        <f t="shared" si="6"/>
        <v>170</v>
      </c>
    </row>
    <row r="414" spans="1:6" x14ac:dyDescent="0.2">
      <c r="A414">
        <f>A413+'Inputs &amp; Outputs'!$B$6</f>
        <v>10.354689386232028</v>
      </c>
      <c r="B414">
        <f>Calculations!$A$3*SIN(SQRT('Inputs &amp; Outputs'!$B$4/'Inputs &amp; Outputs'!$B$5)*A414+Calculations!$A$7)</f>
        <v>-6.2539649610298582</v>
      </c>
      <c r="C414">
        <f>SQRT('Inputs &amp; Outputs'!$B$4/'Inputs &amp; Outputs'!$B$5)*Calculations!$A$3*COS(SQRT('Inputs &amp; Outputs'!$B$4/'Inputs &amp; Outputs'!$B$5)*A414+Calculations!$A$7)</f>
        <v>2.687374288511502</v>
      </c>
      <c r="D414">
        <f>1/2*'Inputs &amp; Outputs'!$B$5*'Analytical Steps'!C414^2</f>
        <v>72.219805665527005</v>
      </c>
      <c r="E414">
        <f>1/2*'Inputs &amp; Outputs'!$B$4*'Analytical Steps'!B414^2</f>
        <v>97.780194334472995</v>
      </c>
      <c r="F414">
        <f t="shared" si="6"/>
        <v>170</v>
      </c>
    </row>
    <row r="415" spans="1:6" x14ac:dyDescent="0.2">
      <c r="A415">
        <f>A414+'Inputs &amp; Outputs'!$B$6</f>
        <v>10.379822127460747</v>
      </c>
      <c r="B415">
        <f>Calculations!$A$3*SIN(SQRT('Inputs &amp; Outputs'!$B$4/'Inputs &amp; Outputs'!$B$5)*A415+Calculations!$A$7)</f>
        <v>-6.1859318692651897</v>
      </c>
      <c r="C415">
        <f>SQRT('Inputs &amp; Outputs'!$B$4/'Inputs &amp; Outputs'!$B$5)*Calculations!$A$3*COS(SQRT('Inputs &amp; Outputs'!$B$4/'Inputs &amp; Outputs'!$B$5)*A415+Calculations!$A$7)</f>
        <v>2.726455891299604</v>
      </c>
      <c r="D415">
        <f>1/2*'Inputs &amp; Outputs'!$B$5*'Analytical Steps'!C415^2</f>
        <v>74.335617272023185</v>
      </c>
      <c r="E415">
        <f>1/2*'Inputs &amp; Outputs'!$B$4*'Analytical Steps'!B415^2</f>
        <v>95.664382727976815</v>
      </c>
      <c r="F415">
        <f t="shared" si="6"/>
        <v>170</v>
      </c>
    </row>
    <row r="416" spans="1:6" x14ac:dyDescent="0.2">
      <c r="A416">
        <f>A415+'Inputs &amp; Outputs'!$B$6</f>
        <v>10.404954868689465</v>
      </c>
      <c r="B416">
        <f>Calculations!$A$3*SIN(SQRT('Inputs &amp; Outputs'!$B$4/'Inputs &amp; Outputs'!$B$5)*A416+Calculations!$A$7)</f>
        <v>-6.116921947148767</v>
      </c>
      <c r="C416">
        <f>SQRT('Inputs &amp; Outputs'!$B$4/'Inputs &amp; Outputs'!$B$5)*Calculations!$A$3*COS(SQRT('Inputs &amp; Outputs'!$B$4/'Inputs &amp; Outputs'!$B$5)*A416+Calculations!$A$7)</f>
        <v>2.7651069550963907</v>
      </c>
      <c r="D416">
        <f>1/2*'Inputs &amp; Outputs'!$B$5*'Analytical Steps'!C416^2</f>
        <v>76.458164731224343</v>
      </c>
      <c r="E416">
        <f>1/2*'Inputs &amp; Outputs'!$B$4*'Analytical Steps'!B416^2</f>
        <v>93.541835268775657</v>
      </c>
      <c r="F416">
        <f t="shared" si="6"/>
        <v>170</v>
      </c>
    </row>
    <row r="417" spans="1:6" x14ac:dyDescent="0.2">
      <c r="A417">
        <f>A416+'Inputs &amp; Outputs'!$B$6</f>
        <v>10.430087609918184</v>
      </c>
      <c r="B417">
        <f>Calculations!$A$3*SIN(SQRT('Inputs &amp; Outputs'!$B$4/'Inputs &amp; Outputs'!$B$5)*A417+Calculations!$A$7)</f>
        <v>-6.0469460921472802</v>
      </c>
      <c r="C417">
        <f>SQRT('Inputs &amp; Outputs'!$B$4/'Inputs &amp; Outputs'!$B$5)*Calculations!$A$3*COS(SQRT('Inputs &amp; Outputs'!$B$4/'Inputs &amp; Outputs'!$B$5)*A417+Calculations!$A$7)</f>
        <v>2.8033213764508313</v>
      </c>
      <c r="D417">
        <f>1/2*'Inputs &amp; Outputs'!$B$5*'Analytical Steps'!C417^2</f>
        <v>78.586107396661845</v>
      </c>
      <c r="E417">
        <f>1/2*'Inputs &amp; Outputs'!$B$4*'Analytical Steps'!B417^2</f>
        <v>91.413892603338155</v>
      </c>
      <c r="F417">
        <f t="shared" si="6"/>
        <v>170</v>
      </c>
    </row>
    <row r="418" spans="1:6" x14ac:dyDescent="0.2">
      <c r="A418">
        <f>A417+'Inputs &amp; Outputs'!$B$6</f>
        <v>10.455220351146902</v>
      </c>
      <c r="B418">
        <f>Calculations!$A$3*SIN(SQRT('Inputs &amp; Outputs'!$B$4/'Inputs &amp; Outputs'!$B$5)*A418+Calculations!$A$7)</f>
        <v>-5.9760153542594212</v>
      </c>
      <c r="C418">
        <f>SQRT('Inputs &amp; Outputs'!$B$4/'Inputs &amp; Outputs'!$B$5)*Calculations!$A$3*COS(SQRT('Inputs &amp; Outputs'!$B$4/'Inputs &amp; Outputs'!$B$5)*A418+Calculations!$A$7)</f>
        <v>2.8410931208627974</v>
      </c>
      <c r="D418">
        <f>1/2*'Inputs &amp; Outputs'!$B$5*'Analytical Steps'!C418^2</f>
        <v>80.718101214139097</v>
      </c>
      <c r="E418">
        <f>1/2*'Inputs &amp; Outputs'!$B$4*'Analytical Steps'!B418^2</f>
        <v>89.281898785860889</v>
      </c>
      <c r="F418">
        <f t="shared" si="6"/>
        <v>170</v>
      </c>
    </row>
    <row r="419" spans="1:6" x14ac:dyDescent="0.2">
      <c r="A419">
        <f>A418+'Inputs &amp; Outputs'!$B$6</f>
        <v>10.480353092375621</v>
      </c>
      <c r="B419">
        <f>Calculations!$A$3*SIN(SQRT('Inputs &amp; Outputs'!$B$4/'Inputs &amp; Outputs'!$B$5)*A419+Calculations!$A$7)</f>
        <v>-5.9041409342709565</v>
      </c>
      <c r="C419">
        <f>SQRT('Inputs &amp; Outputs'!$B$4/'Inputs &amp; Outputs'!$B$5)*Calculations!$A$3*COS(SQRT('Inputs &amp; Outputs'!$B$4/'Inputs &amp; Outputs'!$B$5)*A419+Calculations!$A$7)</f>
        <v>2.8784162237359836</v>
      </c>
      <c r="D419">
        <f>1/2*'Inputs &amp; Outputs'!$B$5*'Analytical Steps'!C419^2</f>
        <v>82.852799570665198</v>
      </c>
      <c r="E419">
        <f>1/2*'Inputs &amp; Outputs'!$B$4*'Analytical Steps'!B419^2</f>
        <v>87.147200429334802</v>
      </c>
      <c r="F419">
        <f t="shared" si="6"/>
        <v>170</v>
      </c>
    </row>
    <row r="420" spans="1:6" x14ac:dyDescent="0.2">
      <c r="A420">
        <f>A419+'Inputs &amp; Outputs'!$B$6</f>
        <v>10.50548583360434</v>
      </c>
      <c r="B420">
        <f>Calculations!$A$3*SIN(SQRT('Inputs &amp; Outputs'!$B$4/'Inputs &amp; Outputs'!$B$5)*A420+Calculations!$A$7)</f>
        <v>-5.8313341819859978</v>
      </c>
      <c r="C420">
        <f>SQRT('Inputs &amp; Outputs'!$B$4/'Inputs &amp; Outputs'!$B$5)*Calculations!$A$3*COS(SQRT('Inputs &amp; Outputs'!$B$4/'Inputs &amp; Outputs'!$B$5)*A420+Calculations!$A$7)</f>
        <v>2.9152847913197819</v>
      </c>
      <c r="D420">
        <f>1/2*'Inputs &amp; Outputs'!$B$5*'Analytical Steps'!C420^2</f>
        <v>84.98885414500424</v>
      </c>
      <c r="E420">
        <f>1/2*'Inputs &amp; Outputs'!$B$4*'Analytical Steps'!B420^2</f>
        <v>85.011145854995775</v>
      </c>
      <c r="F420">
        <f t="shared" si="6"/>
        <v>170</v>
      </c>
    </row>
    <row r="421" spans="1:6" x14ac:dyDescent="0.2">
      <c r="A421">
        <f>A420+'Inputs &amp; Outputs'!$B$6</f>
        <v>10.530618574833058</v>
      </c>
      <c r="B421">
        <f>Calculations!$A$3*SIN(SQRT('Inputs &amp; Outputs'!$B$4/'Inputs &amp; Outputs'!$B$5)*A421+Calculations!$A$7)</f>
        <v>-5.7576065944347334</v>
      </c>
      <c r="C421">
        <f>SQRT('Inputs &amp; Outputs'!$B$4/'Inputs &amp; Outputs'!$B$5)*Calculations!$A$3*COS(SQRT('Inputs &amp; Outputs'!$B$4/'Inputs &amp; Outputs'!$B$5)*A421+Calculations!$A$7)</f>
        <v>2.9516930016399776</v>
      </c>
      <c r="D421">
        <f>1/2*'Inputs &amp; Outputs'!$B$5*'Analytical Steps'!C421^2</f>
        <v>87.124915759304216</v>
      </c>
      <c r="E421">
        <f>1/2*'Inputs &amp; Outputs'!$B$4*'Analytical Steps'!B421^2</f>
        <v>82.875084240695827</v>
      </c>
      <c r="F421">
        <f t="shared" si="6"/>
        <v>170.00000000000006</v>
      </c>
    </row>
    <row r="422" spans="1:6" x14ac:dyDescent="0.2">
      <c r="A422">
        <f>A421+'Inputs &amp; Outputs'!$B$6</f>
        <v>10.555751316061777</v>
      </c>
      <c r="B422">
        <f>Calculations!$A$3*SIN(SQRT('Inputs &amp; Outputs'!$B$4/'Inputs &amp; Outputs'!$B$5)*A422+Calculations!$A$7)</f>
        <v>-5.6829698140579135</v>
      </c>
      <c r="C422">
        <f>SQRT('Inputs &amp; Outputs'!$B$4/'Inputs &amp; Outputs'!$B$5)*Calculations!$A$3*COS(SQRT('Inputs &amp; Outputs'!$B$4/'Inputs &amp; Outputs'!$B$5)*A422+Calculations!$A$7)</f>
        <v>2.9876351054181032</v>
      </c>
      <c r="D422">
        <f>1/2*'Inputs &amp; Outputs'!$B$5*'Analytical Steps'!C422^2</f>
        <v>89.259635231266401</v>
      </c>
      <c r="E422">
        <f>1/2*'Inputs &amp; Outputs'!$B$4*'Analytical Steps'!B422^2</f>
        <v>80.740364768733585</v>
      </c>
      <c r="F422">
        <f t="shared" si="6"/>
        <v>170</v>
      </c>
    </row>
    <row r="423" spans="1:6" x14ac:dyDescent="0.2">
      <c r="A423">
        <f>A422+'Inputs &amp; Outputs'!$B$6</f>
        <v>10.580884057290495</v>
      </c>
      <c r="B423">
        <f>Calculations!$A$3*SIN(SQRT('Inputs &amp; Outputs'!$B$4/'Inputs &amp; Outputs'!$B$5)*A423+Calculations!$A$7)</f>
        <v>-5.6074356268683783</v>
      </c>
      <c r="C423">
        <f>SQRT('Inputs &amp; Outputs'!$B$4/'Inputs &amp; Outputs'!$B$5)*Calculations!$A$3*COS(SQRT('Inputs &amp; Outputs'!$B$4/'Inputs &amp; Outputs'!$B$5)*A423+Calculations!$A$7)</f>
        <v>3.0231054269793187</v>
      </c>
      <c r="D423">
        <f>1/2*'Inputs &amp; Outputs'!$B$5*'Analytical Steps'!C423^2</f>
        <v>91.391664226318085</v>
      </c>
      <c r="E423">
        <f>1/2*'Inputs &amp; Outputs'!$B$4*'Analytical Steps'!B423^2</f>
        <v>78.608335773681915</v>
      </c>
      <c r="F423">
        <f t="shared" si="6"/>
        <v>170</v>
      </c>
    </row>
    <row r="424" spans="1:6" x14ac:dyDescent="0.2">
      <c r="A424">
        <f>A423+'Inputs &amp; Outputs'!$B$6</f>
        <v>10.606016798519214</v>
      </c>
      <c r="B424">
        <f>Calculations!$A$3*SIN(SQRT('Inputs &amp; Outputs'!$B$4/'Inputs &amp; Outputs'!$B$5)*A424+Calculations!$A$7)</f>
        <v>-5.5310159605899054</v>
      </c>
      <c r="C424">
        <f>SQRT('Inputs &amp; Outputs'!$B$4/'Inputs &amp; Outputs'!$B$5)*Calculations!$A$3*COS(SQRT('Inputs &amp; Outputs'!$B$4/'Inputs &amp; Outputs'!$B$5)*A424+Calculations!$A$7)</f>
        <v>3.058098365148664</v>
      </c>
      <c r="D424">
        <f>1/2*'Inputs &amp; Outputs'!$B$5*'Analytical Steps'!C424^2</f>
        <v>93.519656109249325</v>
      </c>
      <c r="E424">
        <f>1/2*'Inputs &amp; Outputs'!$B$4*'Analytical Steps'!B424^2</f>
        <v>76.480343890750675</v>
      </c>
      <c r="F424">
        <f t="shared" si="6"/>
        <v>170</v>
      </c>
    </row>
    <row r="425" spans="1:6" x14ac:dyDescent="0.2">
      <c r="A425">
        <f>A424+'Inputs &amp; Outputs'!$B$6</f>
        <v>10.631149539747932</v>
      </c>
      <c r="B425">
        <f>Calculations!$A$3*SIN(SQRT('Inputs &amp; Outputs'!$B$4/'Inputs &amp; Outputs'!$B$5)*A425+Calculations!$A$7)</f>
        <v>-5.4537228827736834</v>
      </c>
      <c r="C425">
        <f>SQRT('Inputs &amp; Outputs'!$B$4/'Inputs &amp; Outputs'!$B$5)*Calculations!$A$3*COS(SQRT('Inputs &amp; Outputs'!$B$4/'Inputs &amp; Outputs'!$B$5)*A425+Calculations!$A$7)</f>
        <v>3.092608394135552</v>
      </c>
      <c r="D425">
        <f>1/2*'Inputs &amp; Outputs'!$B$5*'Analytical Steps'!C425^2</f>
        <v>95.642266794776774</v>
      </c>
      <c r="E425">
        <f>1/2*'Inputs &amp; Outputs'!$B$4*'Analytical Steps'!B425^2</f>
        <v>74.357733205223241</v>
      </c>
      <c r="F425">
        <f t="shared" si="6"/>
        <v>170</v>
      </c>
    </row>
    <row r="426" spans="1:6" x14ac:dyDescent="0.2">
      <c r="A426">
        <f>A425+'Inputs &amp; Outputs'!$B$6</f>
        <v>10.656282280976651</v>
      </c>
      <c r="B426">
        <f>Calculations!$A$3*SIN(SQRT('Inputs &amp; Outputs'!$B$4/'Inputs &amp; Outputs'!$B$5)*A426+Calculations!$A$7)</f>
        <v>-5.37556859889271</v>
      </c>
      <c r="C426">
        <f>SQRT('Inputs &amp; Outputs'!$B$4/'Inputs &amp; Outputs'!$B$5)*Calculations!$A$3*COS(SQRT('Inputs &amp; Outputs'!$B$4/'Inputs &amp; Outputs'!$B$5)*A426+Calculations!$A$7)</f>
        <v>3.1266300644063518</v>
      </c>
      <c r="D426">
        <f>1/2*'Inputs &amp; Outputs'!$B$5*'Analytical Steps'!C426^2</f>
        <v>97.758155596496692</v>
      </c>
      <c r="E426">
        <f>1/2*'Inputs &amp; Outputs'!$B$4*'Analytical Steps'!B426^2</f>
        <v>72.241844403503336</v>
      </c>
      <c r="F426">
        <f t="shared" si="6"/>
        <v>170.00000000000003</v>
      </c>
    </row>
    <row r="427" spans="1:6" x14ac:dyDescent="0.2">
      <c r="A427">
        <f>A426+'Inputs &amp; Outputs'!$B$6</f>
        <v>10.681415022205369</v>
      </c>
      <c r="B427">
        <f>Calculations!$A$3*SIN(SQRT('Inputs &amp; Outputs'!$B$4/'Inputs &amp; Outputs'!$B$5)*A427+Calculations!$A$7)</f>
        <v>-5.2965654504144046</v>
      </c>
      <c r="C427">
        <f>SQRT('Inputs &amp; Outputs'!$B$4/'Inputs &amp; Outputs'!$B$5)*Calculations!$A$3*COS(SQRT('Inputs &amp; Outputs'!$B$4/'Inputs &amp; Outputs'!$B$5)*A427+Calculations!$A$7)</f>
        <v>3.1601580035449359</v>
      </c>
      <c r="D427">
        <f>1/2*'Inputs &amp; Outputs'!$B$5*'Analytical Steps'!C427^2</f>
        <v>99.865986073691161</v>
      </c>
      <c r="E427">
        <f>1/2*'Inputs &amp; Outputs'!$B$4*'Analytical Steps'!B427^2</f>
        <v>70.134013926308853</v>
      </c>
      <c r="F427">
        <f t="shared" si="6"/>
        <v>170</v>
      </c>
    </row>
    <row r="428" spans="1:6" x14ac:dyDescent="0.2">
      <c r="A428">
        <f>A427+'Inputs &amp; Outputs'!$B$6</f>
        <v>10.706547763434088</v>
      </c>
      <c r="B428">
        <f>Calculations!$A$3*SIN(SQRT('Inputs &amp; Outputs'!$B$4/'Inputs &amp; Outputs'!$B$5)*A428+Calculations!$A$7)</f>
        <v>-5.216725912851742</v>
      </c>
      <c r="C428">
        <f>SQRT('Inputs &amp; Outputs'!$B$4/'Inputs &amp; Outputs'!$B$5)*Calculations!$A$3*COS(SQRT('Inputs &amp; Outputs'!$B$4/'Inputs &amp; Outputs'!$B$5)*A428+Calculations!$A$7)</f>
        <v>3.193186917101047</v>
      </c>
      <c r="D428">
        <f>1/2*'Inputs &amp; Outputs'!$B$5*'Analytical Steps'!C428^2</f>
        <v>101.96442687545289</v>
      </c>
      <c r="E428">
        <f>1/2*'Inputs &amp; Outputs'!$B$4*'Analytical Steps'!B428^2</f>
        <v>68.035573124547113</v>
      </c>
      <c r="F428">
        <f t="shared" si="6"/>
        <v>170</v>
      </c>
    </row>
    <row r="429" spans="1:6" x14ac:dyDescent="0.2">
      <c r="A429">
        <f>A428+'Inputs &amp; Outputs'!$B$6</f>
        <v>10.731680504662807</v>
      </c>
      <c r="B429">
        <f>Calculations!$A$3*SIN(SQRT('Inputs &amp; Outputs'!$B$4/'Inputs &amp; Outputs'!$B$5)*A429+Calculations!$A$7)</f>
        <v>-5.1360625937932367</v>
      </c>
      <c r="C429">
        <f>SQRT('Inputs &amp; Outputs'!$B$4/'Inputs &amp; Outputs'!$B$5)*Calculations!$A$3*COS(SQRT('Inputs &amp; Outputs'!$B$4/'Inputs &amp; Outputs'!$B$5)*A429+Calculations!$A$7)</f>
        <v>3.2257115894263508</v>
      </c>
      <c r="D429">
        <f>1/2*'Inputs &amp; Outputs'!$B$5*'Analytical Steps'!C429^2</f>
        <v>104.05215258159474</v>
      </c>
      <c r="E429">
        <f>1/2*'Inputs &amp; Outputs'!$B$4*'Analytical Steps'!B429^2</f>
        <v>65.947847418405274</v>
      </c>
      <c r="F429">
        <f t="shared" si="6"/>
        <v>170</v>
      </c>
    </row>
    <row r="430" spans="1:6" x14ac:dyDescent="0.2">
      <c r="A430">
        <f>A429+'Inputs &amp; Outputs'!$B$6</f>
        <v>10.756813245891525</v>
      </c>
      <c r="B430">
        <f>Calculations!$A$3*SIN(SQRT('Inputs &amp; Outputs'!$B$4/'Inputs &amp; Outputs'!$B$5)*A430+Calculations!$A$7)</f>
        <v>-5.054588230912044</v>
      </c>
      <c r="C430">
        <f>SQRT('Inputs &amp; Outputs'!$B$4/'Inputs &amp; Outputs'!$B$5)*Calculations!$A$3*COS(SQRT('Inputs &amp; Outputs'!$B$4/'Inputs &amp; Outputs'!$B$5)*A430+Calculations!$A$7)</f>
        <v>3.2577268844980489</v>
      </c>
      <c r="D430">
        <f>1/2*'Inputs &amp; Outputs'!$B$5*'Analytical Steps'!C430^2</f>
        <v>106.12784453981364</v>
      </c>
      <c r="E430">
        <f>1/2*'Inputs &amp; Outputs'!$B$4*'Analytical Steps'!B430^2</f>
        <v>63.87215546018637</v>
      </c>
      <c r="F430">
        <f t="shared" si="6"/>
        <v>170</v>
      </c>
    </row>
    <row r="431" spans="1:6" x14ac:dyDescent="0.2">
      <c r="A431">
        <f>A430+'Inputs &amp; Outputs'!$B$6</f>
        <v>10.781945987120244</v>
      </c>
      <c r="B431">
        <f>Calculations!$A$3*SIN(SQRT('Inputs &amp; Outputs'!$B$4/'Inputs &amp; Outputs'!$B$5)*A431+Calculations!$A$7)</f>
        <v>-4.9723156899545442</v>
      </c>
      <c r="C431">
        <f>SQRT('Inputs &amp; Outputs'!$B$4/'Inputs &amp; Outputs'!$B$5)*Calculations!$A$3*COS(SQRT('Inputs &amp; Outputs'!$B$4/'Inputs &amp; Outputs'!$B$5)*A431+Calculations!$A$7)</f>
        <v>3.2892277467299165</v>
      </c>
      <c r="D431">
        <f>1/2*'Inputs &amp; Outputs'!$B$5*'Analytical Steps'!C431^2</f>
        <v>108.19019169857964</v>
      </c>
      <c r="E431">
        <f>1/2*'Inputs &amp; Outputs'!$B$4*'Analytical Steps'!B431^2</f>
        <v>61.80980830142034</v>
      </c>
      <c r="F431">
        <f t="shared" si="6"/>
        <v>169.99999999999997</v>
      </c>
    </row>
    <row r="432" spans="1:6" x14ac:dyDescent="0.2">
      <c r="A432">
        <f>A431+'Inputs &amp; Outputs'!$B$6</f>
        <v>10.807078728348962</v>
      </c>
      <c r="B432">
        <f>Calculations!$A$3*SIN(SQRT('Inputs &amp; Outputs'!$B$4/'Inputs &amp; Outputs'!$B$5)*A432+Calculations!$A$7)</f>
        <v>-4.8892579627086903</v>
      </c>
      <c r="C432">
        <f>SQRT('Inputs &amp; Outputs'!$B$4/'Inputs &amp; Outputs'!$B$5)*Calculations!$A$3*COS(SQRT('Inputs &amp; Outputs'!$B$4/'Inputs &amp; Outputs'!$B$5)*A432+Calculations!$A$7)</f>
        <v>3.3202092017706382</v>
      </c>
      <c r="D432">
        <f>1/2*'Inputs &amp; Outputs'!$B$5*'Analytical Steps'!C432^2</f>
        <v>110.23789143522418</v>
      </c>
      <c r="E432">
        <f>1/2*'Inputs &amp; Outputs'!$B$4*'Analytical Steps'!B432^2</f>
        <v>59.762108564775829</v>
      </c>
      <c r="F432">
        <f t="shared" si="6"/>
        <v>170</v>
      </c>
    </row>
    <row r="433" spans="1:6" x14ac:dyDescent="0.2">
      <c r="A433">
        <f>A432+'Inputs &amp; Outputs'!$B$6</f>
        <v>10.832211469577681</v>
      </c>
      <c r="B433">
        <f>Calculations!$A$3*SIN(SQRT('Inputs &amp; Outputs'!$B$4/'Inputs &amp; Outputs'!$B$5)*A433+Calculations!$A$7)</f>
        <v>-4.8054281649524473</v>
      </c>
      <c r="C433">
        <f>SQRT('Inputs &amp; Outputs'!$B$4/'Inputs &amp; Outputs'!$B$5)*Calculations!$A$3*COS(SQRT('Inputs &amp; Outputs'!$B$4/'Inputs &amp; Outputs'!$B$5)*A433+Calculations!$A$7)</f>
        <v>3.3506663572893141</v>
      </c>
      <c r="D433">
        <f>1/2*'Inputs &amp; Outputs'!$B$5*'Analytical Steps'!C433^2</f>
        <v>112.26965037870441</v>
      </c>
      <c r="E433">
        <f>1/2*'Inputs &amp; Outputs'!$B$4*'Analytical Steps'!B433^2</f>
        <v>57.730349621295609</v>
      </c>
      <c r="F433">
        <f t="shared" si="6"/>
        <v>170.00000000000003</v>
      </c>
    </row>
    <row r="434" spans="1:6" x14ac:dyDescent="0.2">
      <c r="A434">
        <f>A433+'Inputs &amp; Outputs'!$B$6</f>
        <v>10.857344210806399</v>
      </c>
      <c r="B434">
        <f>Calculations!$A$3*SIN(SQRT('Inputs &amp; Outputs'!$B$4/'Inputs &amp; Outputs'!$B$5)*A434+Calculations!$A$7)</f>
        <v>-4.7208395343826668</v>
      </c>
      <c r="C434">
        <f>SQRT('Inputs &amp; Outputs'!$B$4/'Inputs &amp; Outputs'!$B$5)*Calculations!$A$3*COS(SQRT('Inputs &amp; Outputs'!$B$4/'Inputs &amp; Outputs'!$B$5)*A434+Calculations!$A$7)</f>
        <v>3.3805944037480171</v>
      </c>
      <c r="D434">
        <f>1/2*'Inputs &amp; Outputs'!$B$5*'Analytical Steps'!C434^2</f>
        <v>114.2841852265241</v>
      </c>
      <c r="E434">
        <f>1/2*'Inputs &amp; Outputs'!$B$4*'Analytical Steps'!B434^2</f>
        <v>55.715814773475884</v>
      </c>
      <c r="F434">
        <f t="shared" si="6"/>
        <v>170</v>
      </c>
    </row>
    <row r="435" spans="1:6" x14ac:dyDescent="0.2">
      <c r="A435">
        <f>A434+'Inputs &amp; Outputs'!$B$6</f>
        <v>10.882476952035118</v>
      </c>
      <c r="B435">
        <f>Calculations!$A$3*SIN(SQRT('Inputs &amp; Outputs'!$B$4/'Inputs &amp; Outputs'!$B$5)*A435+Calculations!$A$7)</f>
        <v>-4.6355054285247013</v>
      </c>
      <c r="C435">
        <f>SQRT('Inputs &amp; Outputs'!$B$4/'Inputs &amp; Outputs'!$B$5)*Calculations!$A$3*COS(SQRT('Inputs &amp; Outputs'!$B$4/'Inputs &amp; Outputs'!$B$5)*A435+Calculations!$A$7)</f>
        <v>3.4099886151612746</v>
      </c>
      <c r="D435">
        <f>1/2*'Inputs &amp; Outputs'!$B$5*'Analytical Steps'!C435^2</f>
        <v>116.28022355529508</v>
      </c>
      <c r="E435">
        <f>1/2*'Inputs &amp; Outputs'!$B$4*'Analytical Steps'!B435^2</f>
        <v>53.719776444704934</v>
      </c>
      <c r="F435">
        <f t="shared" si="6"/>
        <v>170</v>
      </c>
    </row>
    <row r="436" spans="1:6" x14ac:dyDescent="0.2">
      <c r="A436">
        <f>A435+'Inputs &amp; Outputs'!$B$6</f>
        <v>10.907609693263836</v>
      </c>
      <c r="B436">
        <f>Calculations!$A$3*SIN(SQRT('Inputs &amp; Outputs'!$B$4/'Inputs &amp; Outputs'!$B$5)*A436+Calculations!$A$7)</f>
        <v>-4.5494393226230869</v>
      </c>
      <c r="C436">
        <f>SQRT('Inputs &amp; Outputs'!$B$4/'Inputs &amp; Outputs'!$B$5)*Calculations!$A$3*COS(SQRT('Inputs &amp; Outputs'!$B$4/'Inputs &amp; Outputs'!$B$5)*A436+Calculations!$A$7)</f>
        <v>3.4388443498423564</v>
      </c>
      <c r="D436">
        <f>1/2*'Inputs &amp; Outputs'!$B$5*'Analytical Steps'!C436^2</f>
        <v>118.25650462442698</v>
      </c>
      <c r="E436">
        <f>1/2*'Inputs &amp; Outputs'!$B$4*'Analytical Steps'!B436^2</f>
        <v>51.743495375573033</v>
      </c>
      <c r="F436">
        <f t="shared" si="6"/>
        <v>170</v>
      </c>
    </row>
    <row r="437" spans="1:6" x14ac:dyDescent="0.2">
      <c r="A437">
        <f>A436+'Inputs &amp; Outputs'!$B$6</f>
        <v>10.932742434492555</v>
      </c>
      <c r="B437">
        <f>Calculations!$A$3*SIN(SQRT('Inputs &amp; Outputs'!$B$4/'Inputs &amp; Outputs'!$B$5)*A437+Calculations!$A$7)</f>
        <v>-4.4626548075136565</v>
      </c>
      <c r="C437">
        <f>SQRT('Inputs &amp; Outputs'!$B$4/'Inputs &amp; Outputs'!$B$5)*Calculations!$A$3*COS(SQRT('Inputs &amp; Outputs'!$B$4/'Inputs &amp; Outputs'!$B$5)*A437+Calculations!$A$7)</f>
        <v>3.4671570511362493</v>
      </c>
      <c r="D437">
        <f>1/2*'Inputs &amp; Outputs'!$B$5*'Analytical Steps'!C437^2</f>
        <v>120.21178017243813</v>
      </c>
      <c r="E437">
        <f>1/2*'Inputs &amp; Outputs'!$B$4*'Analytical Steps'!B437^2</f>
        <v>49.788219827561875</v>
      </c>
      <c r="F437">
        <f t="shared" si="6"/>
        <v>170</v>
      </c>
    </row>
    <row r="438" spans="1:6" x14ac:dyDescent="0.2">
      <c r="A438">
        <f>A437+'Inputs &amp; Outputs'!$B$6</f>
        <v>10.957875175721274</v>
      </c>
      <c r="B438">
        <f>Calculations!$A$3*SIN(SQRT('Inputs &amp; Outputs'!$B$4/'Inputs &amp; Outputs'!$B$5)*A438+Calculations!$A$7)</f>
        <v>-4.3751655874773832</v>
      </c>
      <c r="C438">
        <f>SQRT('Inputs &amp; Outputs'!$B$4/'Inputs &amp; Outputs'!$B$5)*Calculations!$A$3*COS(SQRT('Inputs &amp; Outputs'!$B$4/'Inputs &amp; Outputs'!$B$5)*A438+Calculations!$A$7)</f>
        <v>3.4949222481392086</v>
      </c>
      <c r="D438">
        <f>1/2*'Inputs &amp; Outputs'!$B$5*'Analytical Steps'!C438^2</f>
        <v>122.14481520538421</v>
      </c>
      <c r="E438">
        <f>1/2*'Inputs &amp; Outputs'!$B$4*'Analytical Steps'!B438^2</f>
        <v>47.855184794615788</v>
      </c>
      <c r="F438">
        <f t="shared" si="6"/>
        <v>170</v>
      </c>
    </row>
    <row r="439" spans="1:6" x14ac:dyDescent="0.2">
      <c r="A439">
        <f>A438+'Inputs &amp; Outputs'!$B$6</f>
        <v>10.983007916949992</v>
      </c>
      <c r="B439">
        <f>Calculations!$A$3*SIN(SQRT('Inputs &amp; Outputs'!$B$4/'Inputs &amp; Outputs'!$B$5)*A439+Calculations!$A$7)</f>
        <v>-4.2869854780763195</v>
      </c>
      <c r="C439">
        <f>SQRT('Inputs &amp; Outputs'!$B$4/'Inputs &amp; Outputs'!$B$5)*Calculations!$A$3*COS(SQRT('Inputs &amp; Outputs'!$B$4/'Inputs &amp; Outputs'!$B$5)*A439+Calculations!$A$7)</f>
        <v>3.5221355564047623</v>
      </c>
      <c r="D439">
        <f>1/2*'Inputs &amp; Outputs'!$B$5*'Analytical Steps'!C439^2</f>
        <v>124.05438877690685</v>
      </c>
      <c r="E439">
        <f>1/2*'Inputs &amp; Outputs'!$B$4*'Analytical Steps'!B439^2</f>
        <v>45.945611223093124</v>
      </c>
      <c r="F439">
        <f t="shared" si="6"/>
        <v>169.99999999999997</v>
      </c>
    </row>
    <row r="440" spans="1:6" x14ac:dyDescent="0.2">
      <c r="A440">
        <f>A439+'Inputs &amp; Outputs'!$B$6</f>
        <v>11.008140658178711</v>
      </c>
      <c r="B440">
        <f>Calculations!$A$3*SIN(SQRT('Inputs &amp; Outputs'!$B$4/'Inputs &amp; Outputs'!$B$5)*A440+Calculations!$A$7)</f>
        <v>-4.198128403971956</v>
      </c>
      <c r="C440">
        <f>SQRT('Inputs &amp; Outputs'!$B$4/'Inputs &amp; Outputs'!$B$5)*Calculations!$A$3*COS(SQRT('Inputs &amp; Outputs'!$B$4/'Inputs &amp; Outputs'!$B$5)*A440+Calculations!$A$7)</f>
        <v>3.5487926786360693</v>
      </c>
      <c r="D440">
        <f>1/2*'Inputs &amp; Outputs'!$B$5*'Analytical Steps'!C440^2</f>
        <v>125.93929475940968</v>
      </c>
      <c r="E440">
        <f>1/2*'Inputs &amp; Outputs'!$B$4*'Analytical Steps'!B440^2</f>
        <v>44.060705240590309</v>
      </c>
      <c r="F440">
        <f t="shared" si="6"/>
        <v>170</v>
      </c>
    </row>
    <row r="441" spans="1:6" x14ac:dyDescent="0.2">
      <c r="A441">
        <f>A440+'Inputs &amp; Outputs'!$B$6</f>
        <v>11.033273399407429</v>
      </c>
      <c r="B441">
        <f>Calculations!$A$3*SIN(SQRT('Inputs &amp; Outputs'!$B$4/'Inputs &amp; Outputs'!$B$5)*A441+Calculations!$A$7)</f>
        <v>-4.108608396726356</v>
      </c>
      <c r="C441">
        <f>SQRT('Inputs &amp; Outputs'!$B$4/'Inputs &amp; Outputs'!$B$5)*Calculations!$A$3*COS(SQRT('Inputs &amp; Outputs'!$B$4/'Inputs &amp; Outputs'!$B$5)*A441+Calculations!$A$7)</f>
        <v>3.5748894053645102</v>
      </c>
      <c r="D441">
        <f>1/2*'Inputs &amp; Outputs'!$B$5*'Analytical Steps'!C441^2</f>
        <v>127.79834260587421</v>
      </c>
      <c r="E441">
        <f>1/2*'Inputs &amp; Outputs'!$B$4*'Analytical Steps'!B441^2</f>
        <v>42.201657394125796</v>
      </c>
      <c r="F441">
        <f t="shared" si="6"/>
        <v>170</v>
      </c>
    </row>
    <row r="442" spans="1:6" x14ac:dyDescent="0.2">
      <c r="A442">
        <f>A441+'Inputs &amp; Outputs'!$B$6</f>
        <v>11.058406140636148</v>
      </c>
      <c r="B442">
        <f>Calculations!$A$3*SIN(SQRT('Inputs &amp; Outputs'!$B$4/'Inputs &amp; Outputs'!$B$5)*A442+Calculations!$A$7)</f>
        <v>-4.0184395925864136</v>
      </c>
      <c r="C442">
        <f>SQRT('Inputs &amp; Outputs'!$B$4/'Inputs &amp; Outputs'!$B$5)*Calculations!$A$3*COS(SQRT('Inputs &amp; Outputs'!$B$4/'Inputs &amp; Outputs'!$B$5)*A442+Calculations!$A$7)</f>
        <v>3.6004216156144109</v>
      </c>
      <c r="D442">
        <f>1/2*'Inputs &amp; Outputs'!$B$5*'Analytical Steps'!C442^2</f>
        <v>129.63035810183484</v>
      </c>
      <c r="E442">
        <f>1/2*'Inputs &amp; Outputs'!$B$4*'Analytical Steps'!B442^2</f>
        <v>40.369641898165156</v>
      </c>
      <c r="F442">
        <f t="shared" si="6"/>
        <v>170</v>
      </c>
    </row>
    <row r="443" spans="1:6" x14ac:dyDescent="0.2">
      <c r="A443">
        <f>A442+'Inputs &amp; Outputs'!$B$6</f>
        <v>11.083538881864866</v>
      </c>
      <c r="B443">
        <f>Calculations!$A$3*SIN(SQRT('Inputs &amp; Outputs'!$B$4/'Inputs &amp; Outputs'!$B$5)*A443+Calculations!$A$7)</f>
        <v>-3.9276362302515726</v>
      </c>
      <c r="C443">
        <f>SQRT('Inputs &amp; Outputs'!$B$4/'Inputs &amp; Outputs'!$B$5)*Calculations!$A$3*COS(SQRT('Inputs &amp; Outputs'!$B$4/'Inputs &amp; Outputs'!$B$5)*A443+Calculations!$A$7)</f>
        <v>3.6253852775537947</v>
      </c>
      <c r="D443">
        <f>1/2*'Inputs &amp; Outputs'!$B$5*'Analytical Steps'!C443^2</f>
        <v>131.43418410703805</v>
      </c>
      <c r="E443">
        <f>1/2*'Inputs &amp; Outputs'!$B$4*'Analytical Steps'!B443^2</f>
        <v>38.565815892961965</v>
      </c>
      <c r="F443">
        <f t="shared" si="6"/>
        <v>170</v>
      </c>
    </row>
    <row r="444" spans="1:6" x14ac:dyDescent="0.2">
      <c r="A444">
        <f>A443+'Inputs &amp; Outputs'!$B$6</f>
        <v>11.108671623093585</v>
      </c>
      <c r="B444">
        <f>Calculations!$A$3*SIN(SQRT('Inputs &amp; Outputs'!$B$4/'Inputs &amp; Outputs'!$B$5)*A444+Calculations!$A$7)</f>
        <v>-3.8362126486253709</v>
      </c>
      <c r="C444">
        <f>SQRT('Inputs &amp; Outputs'!$B$4/'Inputs &amp; Outputs'!$B$5)*Calculations!$A$3*COS(SQRT('Inputs &amp; Outputs'!$B$4/'Inputs &amp; Outputs'!$B$5)*A444+Calculations!$A$7)</f>
        <v>3.6497764491310534</v>
      </c>
      <c r="D444">
        <f>1/2*'Inputs &amp; Outputs'!$B$5*'Analytical Steps'!C444^2</f>
        <v>133.20868128631679</v>
      </c>
      <c r="E444">
        <f>1/2*'Inputs &amp; Outputs'!$B$4*'Analytical Steps'!B444^2</f>
        <v>36.791318713683211</v>
      </c>
      <c r="F444">
        <f t="shared" si="6"/>
        <v>170</v>
      </c>
    </row>
    <row r="445" spans="1:6" x14ac:dyDescent="0.2">
      <c r="A445">
        <f>A444+'Inputs &amp; Outputs'!$B$6</f>
        <v>11.133804364322303</v>
      </c>
      <c r="B445">
        <f>Calculations!$A$3*SIN(SQRT('Inputs &amp; Outputs'!$B$4/'Inputs &amp; Outputs'!$B$5)*A445+Calculations!$A$7)</f>
        <v>-3.7441832845511636</v>
      </c>
      <c r="C445">
        <f>SQRT('Inputs &amp; Outputs'!$B$4/'Inputs &amp; Outputs'!$B$5)*Calculations!$A$3*COS(SQRT('Inputs &amp; Outputs'!$B$4/'Inputs &amp; Outputs'!$B$5)*A445+Calculations!$A$7)</f>
        <v>3.673591278697443</v>
      </c>
      <c r="D445">
        <f>1/2*'Inputs &amp; Outputs'!$B$5*'Analytical Steps'!C445^2</f>
        <v>134.95272882921913</v>
      </c>
      <c r="E445">
        <f>1/2*'Inputs &amp; Outputs'!$B$4*'Analytical Steps'!B445^2</f>
        <v>35.047271170780846</v>
      </c>
      <c r="F445">
        <f t="shared" si="6"/>
        <v>169.99999999999997</v>
      </c>
    </row>
    <row r="446" spans="1:6" x14ac:dyDescent="0.2">
      <c r="A446">
        <f>A445+'Inputs &amp; Outputs'!$B$6</f>
        <v>11.158937105551022</v>
      </c>
      <c r="B446">
        <f>Calculations!$A$3*SIN(SQRT('Inputs &amp; Outputs'!$B$4/'Inputs &amp; Outputs'!$B$5)*A446+Calculations!$A$7)</f>
        <v>-3.6515626705323756</v>
      </c>
      <c r="C446">
        <f>SQRT('Inputs &amp; Outputs'!$B$4/'Inputs &amp; Outputs'!$B$5)*Calculations!$A$3*COS(SQRT('Inputs &amp; Outputs'!$B$4/'Inputs &amp; Outputs'!$B$5)*A446+Calculations!$A$7)</f>
        <v>3.6968260056153057</v>
      </c>
      <c r="D446">
        <f>1/2*'Inputs &amp; Outputs'!$B$5*'Analytical Steps'!C446^2</f>
        <v>136.66522515793616</v>
      </c>
      <c r="E446">
        <f>1/2*'Inputs &amp; Outputs'!$B$4*'Analytical Steps'!B446^2</f>
        <v>33.334774842063837</v>
      </c>
      <c r="F446">
        <f t="shared" si="6"/>
        <v>170</v>
      </c>
    </row>
    <row r="447" spans="1:6" x14ac:dyDescent="0.2">
      <c r="A447">
        <f>A446+'Inputs &amp; Outputs'!$B$6</f>
        <v>11.184069846779741</v>
      </c>
      <c r="B447">
        <f>Calculations!$A$3*SIN(SQRT('Inputs &amp; Outputs'!$B$4/'Inputs &amp; Outputs'!$B$5)*A447+Calculations!$A$7)</f>
        <v>-3.5583654324376539</v>
      </c>
      <c r="C447">
        <f>SQRT('Inputs &amp; Outputs'!$B$4/'Inputs &amp; Outputs'!$B$5)*Calculations!$A$3*COS(SQRT('Inputs &amp; Outputs'!$B$4/'Inputs &amp; Outputs'!$B$5)*A447+Calculations!$A$7)</f>
        <v>3.7194769608519151</v>
      </c>
      <c r="D447">
        <f>1/2*'Inputs &amp; Outputs'!$B$5*'Analytical Steps'!C447^2</f>
        <v>138.34508862308201</v>
      </c>
      <c r="E447">
        <f>1/2*'Inputs &amp; Outputs'!$B$4*'Analytical Steps'!B447^2</f>
        <v>31.654911376918029</v>
      </c>
      <c r="F447">
        <f t="shared" si="6"/>
        <v>170.00000000000003</v>
      </c>
    </row>
    <row r="448" spans="1:6" x14ac:dyDescent="0.2">
      <c r="A448">
        <f>A447+'Inputs &amp; Outputs'!$B$6</f>
        <v>11.209202588008459</v>
      </c>
      <c r="B448">
        <f>Calculations!$A$3*SIN(SQRT('Inputs &amp; Outputs'!$B$4/'Inputs &amp; Outputs'!$B$5)*A448+Calculations!$A$7)</f>
        <v>-3.4646062871912688</v>
      </c>
      <c r="C448">
        <f>SQRT('Inputs &amp; Outputs'!$B$4/'Inputs &amp; Outputs'!$B$5)*Calculations!$A$3*COS(SQRT('Inputs &amp; Outputs'!$B$4/'Inputs &amp; Outputs'!$B$5)*A448+Calculations!$A$7)</f>
        <v>3.7415405675588609</v>
      </c>
      <c r="D448">
        <f>1/2*'Inputs &amp; Outputs'!$B$5*'Analytical Steps'!C448^2</f>
        <v>139.99125818688682</v>
      </c>
      <c r="E448">
        <f>1/2*'Inputs &amp; Outputs'!$B$4*'Analytical Steps'!B448^2</f>
        <v>30.008741813113172</v>
      </c>
      <c r="F448">
        <f t="shared" si="6"/>
        <v>170</v>
      </c>
    </row>
    <row r="449" spans="1:6" x14ac:dyDescent="0.2">
      <c r="A449">
        <f>A448+'Inputs &amp; Outputs'!$B$6</f>
        <v>11.234335329237178</v>
      </c>
      <c r="B449">
        <f>Calculations!$A$3*SIN(SQRT('Inputs &amp; Outputs'!$B$4/'Inputs &amp; Outputs'!$B$5)*A449+Calculations!$A$7)</f>
        <v>-3.3703000404491466</v>
      </c>
      <c r="C449">
        <f>SQRT('Inputs &amp; Outputs'!$B$4/'Inputs &amp; Outputs'!$B$5)*Calculations!$A$3*COS(SQRT('Inputs &amp; Outputs'!$B$4/'Inputs &amp; Outputs'!$B$5)*A449+Calculations!$A$7)</f>
        <v>3.7630133416368752</v>
      </c>
      <c r="D449">
        <f>1/2*'Inputs &amp; Outputs'!$B$5*'Analytical Steps'!C449^2</f>
        <v>141.60269409337121</v>
      </c>
      <c r="E449">
        <f>1/2*'Inputs &amp; Outputs'!$B$4*'Analytical Steps'!B449^2</f>
        <v>28.397305906628798</v>
      </c>
      <c r="F449">
        <f t="shared" si="6"/>
        <v>170</v>
      </c>
    </row>
    <row r="450" spans="1:6" x14ac:dyDescent="0.2">
      <c r="A450">
        <f>A449+'Inputs &amp; Outputs'!$B$6</f>
        <v>11.259468070465896</v>
      </c>
      <c r="B450">
        <f>Calculations!$A$3*SIN(SQRT('Inputs &amp; Outputs'!$B$4/'Inputs &amp; Outputs'!$B$5)*A450+Calculations!$A$7)</f>
        <v>-3.2754615842608796</v>
      </c>
      <c r="C450">
        <f>SQRT('Inputs &amp; Outputs'!$B$4/'Inputs &amp; Outputs'!$B$5)*Calculations!$A$3*COS(SQRT('Inputs &amp; Outputs'!$B$4/'Inputs &amp; Outputs'!$B$5)*A450+Calculations!$A$7)</f>
        <v>3.7838918922860101</v>
      </c>
      <c r="D450">
        <f>1/2*'Inputs &amp; Outputs'!$B$5*'Analytical Steps'!C450^2</f>
        <v>143.17837852507802</v>
      </c>
      <c r="E450">
        <f>1/2*'Inputs &amp; Outputs'!$B$4*'Analytical Steps'!B450^2</f>
        <v>26.821621474921979</v>
      </c>
      <c r="F450">
        <f t="shared" si="6"/>
        <v>170</v>
      </c>
    </row>
    <row r="451" spans="1:6" x14ac:dyDescent="0.2">
      <c r="A451">
        <f>A450+'Inputs &amp; Outputs'!$B$6</f>
        <v>11.284600811694615</v>
      </c>
      <c r="B451">
        <f>Calculations!$A$3*SIN(SQRT('Inputs &amp; Outputs'!$B$4/'Inputs &amp; Outputs'!$B$5)*A451+Calculations!$A$7)</f>
        <v>-3.1801058947181025</v>
      </c>
      <c r="C451">
        <f>SQRT('Inputs &amp; Outputs'!$B$4/'Inputs &amp; Outputs'!$B$5)*Calculations!$A$3*COS(SQRT('Inputs &amp; Outputs'!$B$4/'Inputs &amp; Outputs'!$B$5)*A451+Calculations!$A$7)</f>
        <v>3.804172922541087</v>
      </c>
      <c r="D451">
        <f>1/2*'Inputs &amp; Outputs'!$B$5*'Analytical Steps'!C451^2</f>
        <v>144.71731624594796</v>
      </c>
      <c r="E451">
        <f>1/2*'Inputs &amp; Outputs'!$B$4*'Analytical Steps'!B451^2</f>
        <v>25.282683754052059</v>
      </c>
      <c r="F451">
        <f t="shared" ref="F451:F502" si="7">SUM(D451:E451)</f>
        <v>170</v>
      </c>
    </row>
    <row r="452" spans="1:6" x14ac:dyDescent="0.2">
      <c r="A452">
        <f>A451+'Inputs &amp; Outputs'!$B$6</f>
        <v>11.309733552923333</v>
      </c>
      <c r="B452">
        <f>Calculations!$A$3*SIN(SQRT('Inputs &amp; Outputs'!$B$4/'Inputs &amp; Outputs'!$B$5)*A452+Calculations!$A$7)</f>
        <v>-3.0842480295895927</v>
      </c>
      <c r="C452">
        <f>SQRT('Inputs &amp; Outputs'!$B$4/'Inputs &amp; Outputs'!$B$5)*Calculations!$A$3*COS(SQRT('Inputs &amp; Outputs'!$B$4/'Inputs &amp; Outputs'!$B$5)*A452+Calculations!$A$7)</f>
        <v>3.8238532297923231</v>
      </c>
      <c r="D452">
        <f>1/2*'Inputs &amp; Outputs'!$B$5*'Analytical Steps'!C452^2</f>
        <v>146.2185352299318</v>
      </c>
      <c r="E452">
        <f>1/2*'Inputs &amp; Outputs'!$B$4*'Analytical Steps'!B452^2</f>
        <v>23.781464770068212</v>
      </c>
      <c r="F452">
        <f t="shared" si="7"/>
        <v>170</v>
      </c>
    </row>
    <row r="453" spans="1:6" x14ac:dyDescent="0.2">
      <c r="A453">
        <f>A452+'Inputs &amp; Outputs'!$B$6</f>
        <v>11.334866294152052</v>
      </c>
      <c r="B453">
        <f>Calculations!$A$3*SIN(SQRT('Inputs &amp; Outputs'!$B$4/'Inputs &amp; Outputs'!$B$5)*A453+Calculations!$A$7)</f>
        <v>-2.9879031259434727</v>
      </c>
      <c r="C453">
        <f>SQRT('Inputs &amp; Outputs'!$B$4/'Inputs &amp; Outputs'!$B$5)*Calculations!$A$3*COS(SQRT('Inputs &amp; Outputs'!$B$4/'Inputs &amp; Outputs'!$B$5)*A453+Calculations!$A$7)</f>
        <v>3.8429297062910619</v>
      </c>
      <c r="D453">
        <f>1/2*'Inputs &amp; Outputs'!$B$5*'Analytical Steps'!C453^2</f>
        <v>147.68108727494308</v>
      </c>
      <c r="E453">
        <f>1/2*'Inputs &amp; Outputs'!$B$4*'Analytical Steps'!B453^2</f>
        <v>22.31891272505694</v>
      </c>
      <c r="F453">
        <f t="shared" si="7"/>
        <v>170.00000000000003</v>
      </c>
    </row>
    <row r="454" spans="1:6" x14ac:dyDescent="0.2">
      <c r="A454">
        <f>A453+'Inputs &amp; Outputs'!$B$6</f>
        <v>11.35999903538077</v>
      </c>
      <c r="B454">
        <f>Calculations!$A$3*SIN(SQRT('Inputs &amp; Outputs'!$B$4/'Inputs &amp; Outputs'!$B$5)*A454+Calculations!$A$7)</f>
        <v>-2.891086397756895</v>
      </c>
      <c r="C454">
        <f>SQRT('Inputs &amp; Outputs'!$B$4/'Inputs &amp; Outputs'!$B$5)*Calculations!$A$3*COS(SQRT('Inputs &amp; Outputs'!$B$4/'Inputs &amp; Outputs'!$B$5)*A454+Calculations!$A$7)</f>
        <v>3.8613993396405228</v>
      </c>
      <c r="D454">
        <f>1/2*'Inputs &amp; Outputs'!$B$5*'Analytical Steps'!C454^2</f>
        <v>149.10404860176266</v>
      </c>
      <c r="E454">
        <f>1/2*'Inputs &amp; Outputs'!$B$4*'Analytical Steps'!B454^2</f>
        <v>20.895951398237351</v>
      </c>
      <c r="F454">
        <f t="shared" si="7"/>
        <v>170</v>
      </c>
    </row>
    <row r="455" spans="1:6" x14ac:dyDescent="0.2">
      <c r="A455">
        <f>A454+'Inputs &amp; Outputs'!$B$6</f>
        <v>11.385131776609489</v>
      </c>
      <c r="B455">
        <f>Calculations!$A$3*SIN(SQRT('Inputs &amp; Outputs'!$B$4/'Inputs &amp; Outputs'!$B$5)*A455+Calculations!$A$7)</f>
        <v>-2.7938131335135741</v>
      </c>
      <c r="C455">
        <f>SQRT('Inputs &amp; Outputs'!$B$4/'Inputs &amp; Outputs'!$B$5)*Calculations!$A$3*COS(SQRT('Inputs &amp; Outputs'!$B$4/'Inputs &amp; Outputs'!$B$5)*A455+Calculations!$A$7)</f>
        <v>3.8792592132714931</v>
      </c>
      <c r="D455">
        <f>1/2*'Inputs &amp; Outputs'!$B$5*'Analytical Steps'!C455^2</f>
        <v>150.48652043751764</v>
      </c>
      <c r="E455">
        <f>1/2*'Inputs &amp; Outputs'!$B$4*'Analytical Steps'!B455^2</f>
        <v>19.513479562482338</v>
      </c>
      <c r="F455">
        <f t="shared" si="7"/>
        <v>169.99999999999997</v>
      </c>
    </row>
    <row r="456" spans="1:6" x14ac:dyDescent="0.2">
      <c r="A456">
        <f>A455+'Inputs &amp; Outputs'!$B$6</f>
        <v>11.410264517838208</v>
      </c>
      <c r="B456">
        <f>Calculations!$A$3*SIN(SQRT('Inputs &amp; Outputs'!$B$4/'Inputs &amp; Outputs'!$B$5)*A456+Calculations!$A$7)</f>
        <v>-2.6960986937895624</v>
      </c>
      <c r="C456">
        <f>SQRT('Inputs &amp; Outputs'!$B$4/'Inputs &amp; Outputs'!$B$5)*Calculations!$A$3*COS(SQRT('Inputs &amp; Outputs'!$B$4/'Inputs &amp; Outputs'!$B$5)*A456+Calculations!$A$7)</f>
        <v>3.896506506902889</v>
      </c>
      <c r="D456">
        <f>1/2*'Inputs &amp; Outputs'!$B$5*'Analytical Steps'!C456^2</f>
        <v>151.82762958336554</v>
      </c>
      <c r="E456">
        <f>1/2*'Inputs &amp; Outputs'!$B$4*'Analytical Steps'!B456^2</f>
        <v>18.172370416634461</v>
      </c>
      <c r="F456">
        <f t="shared" si="7"/>
        <v>170</v>
      </c>
    </row>
    <row r="457" spans="1:6" x14ac:dyDescent="0.2">
      <c r="A457">
        <f>A456+'Inputs &amp; Outputs'!$B$6</f>
        <v>11.435397259066926</v>
      </c>
      <c r="B457">
        <f>Calculations!$A$3*SIN(SQRT('Inputs &amp; Outputs'!$B$4/'Inputs &amp; Outputs'!$B$5)*A457+Calculations!$A$7)</f>
        <v>-2.597958508827634</v>
      </c>
      <c r="C457">
        <f>SQRT('Inputs &amp; Outputs'!$B$4/'Inputs &amp; Outputs'!$B$5)*Calculations!$A$3*COS(SQRT('Inputs &amp; Outputs'!$B$4/'Inputs &amp; Outputs'!$B$5)*A457+Calculations!$A$7)</f>
        <v>3.9131384969871079</v>
      </c>
      <c r="D457">
        <f>1/2*'Inputs &amp; Outputs'!$B$5*'Analytical Steps'!C457^2</f>
        <v>153.12652896602521</v>
      </c>
      <c r="E457">
        <f>1/2*'Inputs &amp; Outputs'!$B$4*'Analytical Steps'!B457^2</f>
        <v>16.873471033974759</v>
      </c>
      <c r="F457">
        <f t="shared" si="7"/>
        <v>169.99999999999997</v>
      </c>
    </row>
    <row r="458" spans="1:6" x14ac:dyDescent="0.2">
      <c r="A458">
        <f>A457+'Inputs &amp; Outputs'!$B$6</f>
        <v>11.460530000295645</v>
      </c>
      <c r="B458">
        <f>Calculations!$A$3*SIN(SQRT('Inputs &amp; Outputs'!$B$4/'Inputs &amp; Outputs'!$B$5)*A458+Calculations!$A$7)</f>
        <v>-2.499408076100671</v>
      </c>
      <c r="C458">
        <f>SQRT('Inputs &amp; Outputs'!$B$4/'Inputs &amp; Outputs'!$B$5)*Calculations!$A$3*COS(SQRT('Inputs &amp; Outputs'!$B$4/'Inputs &amp; Outputs'!$B$5)*A458+Calculations!$A$7)</f>
        <v>3.9291525571401125</v>
      </c>
      <c r="D458">
        <f>1/2*'Inputs &amp; Outputs'!$B$5*'Analytical Steps'!C458^2</f>
        <v>154.38239817280686</v>
      </c>
      <c r="E458">
        <f>1/2*'Inputs &amp; Outputs'!$B$4*'Analytical Steps'!B458^2</f>
        <v>15.617601827193145</v>
      </c>
      <c r="F458">
        <f t="shared" si="7"/>
        <v>170</v>
      </c>
    </row>
    <row r="459" spans="1:6" x14ac:dyDescent="0.2">
      <c r="A459">
        <f>A458+'Inputs &amp; Outputs'!$B$6</f>
        <v>11.485662741524363</v>
      </c>
      <c r="B459">
        <f>Calculations!$A$3*SIN(SQRT('Inputs &amp; Outputs'!$B$4/'Inputs &amp; Outputs'!$B$5)*A459+Calculations!$A$7)</f>
        <v>-2.4004629578644341</v>
      </c>
      <c r="C459">
        <f>SQRT('Inputs &amp; Outputs'!$B$4/'Inputs &amp; Outputs'!$B$5)*Calculations!$A$3*COS(SQRT('Inputs &amp; Outputs'!$B$4/'Inputs &amp; Outputs'!$B$5)*A459+Calculations!$A$7)</f>
        <v>3.9445461585561632</v>
      </c>
      <c r="D459">
        <f>1/2*'Inputs &amp; Outputs'!$B$5*'Analytical Steps'!C459^2</f>
        <v>155.59444396980183</v>
      </c>
      <c r="E459">
        <f>1/2*'Inputs &amp; Outputs'!$B$4*'Analytical Steps'!B459^2</f>
        <v>14.40555603019817</v>
      </c>
      <c r="F459">
        <f t="shared" si="7"/>
        <v>170</v>
      </c>
    </row>
    <row r="460" spans="1:6" x14ac:dyDescent="0.2">
      <c r="A460">
        <f>A459+'Inputs &amp; Outputs'!$B$6</f>
        <v>11.510795482753082</v>
      </c>
      <c r="B460">
        <f>Calculations!$A$3*SIN(SQRT('Inputs &amp; Outputs'!$B$4/'Inputs &amp; Outputs'!$B$5)*A460+Calculations!$A$7)</f>
        <v>-2.3011387787001008</v>
      </c>
      <c r="C460">
        <f>SQRT('Inputs &amp; Outputs'!$B$4/'Inputs &amp; Outputs'!$B$5)*Calculations!$A$3*COS(SQRT('Inputs &amp; Outputs'!$B$4/'Inputs &amp; Outputs'!$B$5)*A460+Calculations!$A$7)</f>
        <v>3.959316870407148</v>
      </c>
      <c r="D460">
        <f>1/2*'Inputs &amp; Outputs'!$B$5*'Analytical Steps'!C460^2</f>
        <v>156.76190080290652</v>
      </c>
      <c r="E460">
        <f>1/2*'Inputs &amp; Outputs'!$B$4*'Analytical Steps'!B460^2</f>
        <v>13.238099197093478</v>
      </c>
      <c r="F460">
        <f t="shared" si="7"/>
        <v>170</v>
      </c>
    </row>
    <row r="461" spans="1:6" x14ac:dyDescent="0.2">
      <c r="A461">
        <f>A460+'Inputs &amp; Outputs'!$B$6</f>
        <v>11.5359282239818</v>
      </c>
      <c r="B461">
        <f>Calculations!$A$3*SIN(SQRT('Inputs &amp; Outputs'!$B$4/'Inputs &amp; Outputs'!$B$5)*A461+Calculations!$A$7)</f>
        <v>-2.2014512230469641</v>
      </c>
      <c r="C461">
        <f>SQRT('Inputs &amp; Outputs'!$B$4/'Inputs &amp; Outputs'!$B$5)*Calculations!$A$3*COS(SQRT('Inputs &amp; Outputs'!$B$4/'Inputs &amp; Outputs'!$B$5)*A461+Calculations!$A$7)</f>
        <v>3.9734623602264381</v>
      </c>
      <c r="D461">
        <f>1/2*'Inputs &amp; Outputs'!$B$5*'Analytical Steps'!C461^2</f>
        <v>157.88403128136255</v>
      </c>
      <c r="E461">
        <f>1/2*'Inputs &amp; Outputs'!$B$4*'Analytical Steps'!B461^2</f>
        <v>12.115968718637436</v>
      </c>
      <c r="F461">
        <f t="shared" si="7"/>
        <v>170</v>
      </c>
    </row>
    <row r="462" spans="1:6" x14ac:dyDescent="0.2">
      <c r="A462">
        <f>A461+'Inputs &amp; Outputs'!$B$6</f>
        <v>11.561060965210519</v>
      </c>
      <c r="B462">
        <f>Calculations!$A$3*SIN(SQRT('Inputs &amp; Outputs'!$B$4/'Inputs &amp; Outputs'!$B$5)*A462+Calculations!$A$7)</f>
        <v>-2.1014160327256759</v>
      </c>
      <c r="C462">
        <f>SQRT('Inputs &amp; Outputs'!$B$4/'Inputs &amp; Outputs'!$B$5)*Calculations!$A$3*COS(SQRT('Inputs &amp; Outputs'!$B$4/'Inputs &amp; Outputs'!$B$5)*A462+Calculations!$A$7)</f>
        <v>3.9869803942772117</v>
      </c>
      <c r="D462">
        <f>1/2*'Inputs &amp; Outputs'!$B$5*'Analytical Steps'!C462^2</f>
        <v>158.96012664350872</v>
      </c>
      <c r="E462">
        <f>1/2*'Inputs &amp; Outputs'!$B$4*'Analytical Steps'!B462^2</f>
        <v>11.039873356491297</v>
      </c>
      <c r="F462">
        <f t="shared" si="7"/>
        <v>170</v>
      </c>
    </row>
    <row r="463" spans="1:6" x14ac:dyDescent="0.2">
      <c r="A463">
        <f>A462+'Inputs &amp; Outputs'!$B$6</f>
        <v>11.586193706439238</v>
      </c>
      <c r="B463">
        <f>Calculations!$A$3*SIN(SQRT('Inputs &amp; Outputs'!$B$4/'Inputs &amp; Outputs'!$B$5)*A463+Calculations!$A$7)</f>
        <v>-2.0010490044524332</v>
      </c>
      <c r="C463">
        <f>SQRT('Inputs &amp; Outputs'!$B$4/'Inputs &amp; Outputs'!$B$5)*Calculations!$A$3*COS(SQRT('Inputs &amp; Outputs'!$B$4/'Inputs &amp; Outputs'!$B$5)*A463+Calculations!$A$7)</f>
        <v>3.9998688379051859</v>
      </c>
      <c r="D463">
        <f>1/2*'Inputs &amp; Outputs'!$B$5*'Analytical Steps'!C463^2</f>
        <v>159.98950720444984</v>
      </c>
      <c r="E463">
        <f>1/2*'Inputs &amp; Outputs'!$B$4*'Analytical Steps'!B463^2</f>
        <v>10.010492795550185</v>
      </c>
      <c r="F463">
        <f t="shared" si="7"/>
        <v>170.00000000000003</v>
      </c>
    </row>
    <row r="464" spans="1:6" x14ac:dyDescent="0.2">
      <c r="A464">
        <f>A463+'Inputs &amp; Outputs'!$B$6</f>
        <v>11.611326447667956</v>
      </c>
      <c r="B464">
        <f>Calculations!$A$3*SIN(SQRT('Inputs &amp; Outputs'!$B$4/'Inputs &amp; Outputs'!$B$5)*A464+Calculations!$A$7)</f>
        <v>-1.9003659873444911</v>
      </c>
      <c r="C464">
        <f>SQRT('Inputs &amp; Outputs'!$B$4/'Inputs &amp; Outputs'!$B$5)*Calculations!$A$3*COS(SQRT('Inputs &amp; Outputs'!$B$4/'Inputs &amp; Outputs'!$B$5)*A464+Calculations!$A$7)</f>
        <v>4.0121256558757041</v>
      </c>
      <c r="D464">
        <f>1/2*'Inputs &amp; Outputs'!$B$5*'Analytical Steps'!C464^2</f>
        <v>160.97152278536049</v>
      </c>
      <c r="E464">
        <f>1/2*'Inputs &amp; Outputs'!$B$4*'Analytical Steps'!B464^2</f>
        <v>9.0284772146395067</v>
      </c>
      <c r="F464">
        <f t="shared" si="7"/>
        <v>170</v>
      </c>
    </row>
    <row r="465" spans="1:6" x14ac:dyDescent="0.2">
      <c r="A465">
        <f>A464+'Inputs &amp; Outputs'!$B$6</f>
        <v>11.636459188896675</v>
      </c>
      <c r="B465">
        <f>Calculations!$A$3*SIN(SQRT('Inputs &amp; Outputs'!$B$4/'Inputs &amp; Outputs'!$B$5)*A465+Calculations!$A$7)</f>
        <v>-1.7993828804174061</v>
      </c>
      <c r="C465">
        <f>SQRT('Inputs &amp; Outputs'!$B$4/'Inputs &amp; Outputs'!$B$5)*Calculations!$A$3*COS(SQRT('Inputs &amp; Outputs'!$B$4/'Inputs &amp; Outputs'!$B$5)*A465+Calculations!$A$7)</f>
        <v>4.0237489126951234</v>
      </c>
      <c r="D465">
        <f>1/2*'Inputs &amp; Outputs'!$B$5*'Analytical Steps'!C465^2</f>
        <v>161.90555312415188</v>
      </c>
      <c r="E465">
        <f>1/2*'Inputs &amp; Outputs'!$B$4*'Analytical Steps'!B465^2</f>
        <v>8.094446875848103</v>
      </c>
      <c r="F465">
        <f t="shared" si="7"/>
        <v>169.99999999999997</v>
      </c>
    </row>
    <row r="466" spans="1:6" x14ac:dyDescent="0.2">
      <c r="A466">
        <f>A465+'Inputs &amp; Outputs'!$B$6</f>
        <v>11.661591930125393</v>
      </c>
      <c r="B466">
        <f>Calculations!$A$3*SIN(SQRT('Inputs &amp; Outputs'!$B$4/'Inputs &amp; Outputs'!$B$5)*A466+Calculations!$A$7)</f>
        <v>-1.6981156300743951</v>
      </c>
      <c r="C466">
        <f>SQRT('Inputs &amp; Outputs'!$B$4/'Inputs &amp; Outputs'!$B$5)*Calculations!$A$3*COS(SQRT('Inputs &amp; Outputs'!$B$4/'Inputs &amp; Outputs'!$B$5)*A466+Calculations!$A$7)</f>
        <v>4.0347367729164514</v>
      </c>
      <c r="D466">
        <f>1/2*'Inputs &amp; Outputs'!$B$5*'Analytical Steps'!C466^2</f>
        <v>162.7910082672426</v>
      </c>
      <c r="E466">
        <f>1/2*'Inputs &amp; Outputs'!$B$4*'Analytical Steps'!B466^2</f>
        <v>7.2089917327574007</v>
      </c>
      <c r="F466">
        <f t="shared" si="7"/>
        <v>170</v>
      </c>
    </row>
    <row r="467" spans="1:6" x14ac:dyDescent="0.2">
      <c r="A467">
        <f>A466+'Inputs &amp; Outputs'!$B$6</f>
        <v>11.686724671354112</v>
      </c>
      <c r="B467">
        <f>Calculations!$A$3*SIN(SQRT('Inputs &amp; Outputs'!$B$4/'Inputs &amp; Outputs'!$B$5)*A467+Calculations!$A$7)</f>
        <v>-1.5965802275882142</v>
      </c>
      <c r="C467">
        <f>SQRT('Inputs &amp; Outputs'!$B$4/'Inputs &amp; Outputs'!$B$5)*Calculations!$A$3*COS(SQRT('Inputs &amp; Outputs'!$B$4/'Inputs &amp; Outputs'!$B$5)*A467+Calculations!$A$7)</f>
        <v>4.0450875014291832</v>
      </c>
      <c r="D467">
        <f>1/2*'Inputs &amp; Outputs'!$B$5*'Analytical Steps'!C467^2</f>
        <v>163.62732894218593</v>
      </c>
      <c r="E467">
        <f>1/2*'Inputs &amp; Outputs'!$B$4*'Analytical Steps'!B467^2</f>
        <v>6.3726710578140846</v>
      </c>
      <c r="F467">
        <f t="shared" si="7"/>
        <v>170</v>
      </c>
    </row>
    <row r="468" spans="1:6" x14ac:dyDescent="0.2">
      <c r="A468">
        <f>A467+'Inputs &amp; Outputs'!$B$6</f>
        <v>11.71185741258283</v>
      </c>
      <c r="B468">
        <f>Calculations!$A$3*SIN(SQRT('Inputs &amp; Outputs'!$B$4/'Inputs &amp; Outputs'!$B$5)*A468+Calculations!$A$7)</f>
        <v>-1.4947927065759523</v>
      </c>
      <c r="C468">
        <f>SQRT('Inputs &amp; Outputs'!$B$4/'Inputs &amp; Outputs'!$B$5)*Calculations!$A$3*COS(SQRT('Inputs &amp; Outputs'!$B$4/'Inputs &amp; Outputs'!$B$5)*A468+Calculations!$A$7)</f>
        <v>4.0547994637332971</v>
      </c>
      <c r="D468">
        <f>1/2*'Inputs &amp; Outputs'!$B$5*'Analytical Steps'!C468^2</f>
        <v>164.41398691091834</v>
      </c>
      <c r="E468">
        <f>1/2*'Inputs &amp; Outputs'!$B$4*'Analytical Steps'!B468^2</f>
        <v>5.5860130890816526</v>
      </c>
      <c r="F468">
        <f t="shared" si="7"/>
        <v>170</v>
      </c>
    </row>
    <row r="469" spans="1:6" x14ac:dyDescent="0.2">
      <c r="A469">
        <f>A468+'Inputs &amp; Outputs'!$B$6</f>
        <v>11.736990153811549</v>
      </c>
      <c r="B469">
        <f>Calculations!$A$3*SIN(SQRT('Inputs &amp; Outputs'!$B$4/'Inputs &amp; Outputs'!$B$5)*A469+Calculations!$A$7)</f>
        <v>-1.3927691404671352</v>
      </c>
      <c r="C469">
        <f>SQRT('Inputs &amp; Outputs'!$B$4/'Inputs &amp; Outputs'!$B$5)*Calculations!$A$3*COS(SQRT('Inputs &amp; Outputs'!$B$4/'Inputs &amp; Outputs'!$B$5)*A469+Calculations!$A$7)</f>
        <v>4.0638711261973608</v>
      </c>
      <c r="D469">
        <f>1/2*'Inputs &amp; Outputs'!$B$5*'Analytical Steps'!C469^2</f>
        <v>165.15048530340607</v>
      </c>
      <c r="E469">
        <f>1/2*'Inputs &amp; Outputs'!$B$4*'Analytical Steps'!B469^2</f>
        <v>4.8495146965939062</v>
      </c>
      <c r="F469">
        <f t="shared" si="7"/>
        <v>169.99999999999997</v>
      </c>
    </row>
    <row r="470" spans="1:6" x14ac:dyDescent="0.2">
      <c r="A470">
        <f>A469+'Inputs &amp; Outputs'!$B$6</f>
        <v>11.762122895040267</v>
      </c>
      <c r="B470">
        <f>Calculations!$A$3*SIN(SQRT('Inputs &amp; Outputs'!$B$4/'Inputs &amp; Outputs'!$B$5)*A470+Calculations!$A$7)</f>
        <v>-1.290525639965546</v>
      </c>
      <c r="C470">
        <f>SQRT('Inputs &amp; Outputs'!$B$4/'Inputs &amp; Outputs'!$B$5)*Calculations!$A$3*COS(SQRT('Inputs &amp; Outputs'!$B$4/'Inputs &amp; Outputs'!$B$5)*A470+Calculations!$A$7)</f>
        <v>4.0723010563007103</v>
      </c>
      <c r="D470">
        <f>1/2*'Inputs &amp; Outputs'!$B$5*'Analytical Steps'!C470^2</f>
        <v>165.83635893147883</v>
      </c>
      <c r="E470">
        <f>1/2*'Inputs &amp; Outputs'!$B$4*'Analytical Steps'!B470^2</f>
        <v>4.1636410685212057</v>
      </c>
      <c r="F470">
        <f t="shared" si="7"/>
        <v>170.00000000000003</v>
      </c>
    </row>
    <row r="471" spans="1:6" x14ac:dyDescent="0.2">
      <c r="A471">
        <f>A470+'Inputs &amp; Outputs'!$B$6</f>
        <v>11.787255636268986</v>
      </c>
      <c r="B471">
        <f>Calculations!$A$3*SIN(SQRT('Inputs &amp; Outputs'!$B$4/'Inputs &amp; Outputs'!$B$5)*A471+Calculations!$A$7)</f>
        <v>-1.1880783505051586</v>
      </c>
      <c r="C471">
        <f>SQRT('Inputs &amp; Outputs'!$B$4/'Inputs &amp; Outputs'!$B$5)*Calculations!$A$3*COS(SQRT('Inputs &amp; Outputs'!$B$4/'Inputs &amp; Outputs'!$B$5)*A471+Calculations!$A$7)</f>
        <v>4.0800879228596578</v>
      </c>
      <c r="D471">
        <f>1/2*'Inputs &amp; Outputs'!$B$5*'Analytical Steps'!C471^2</f>
        <v>166.4711745826524</v>
      </c>
      <c r="E471">
        <f>1/2*'Inputs &amp; Outputs'!$B$4*'Analytical Steps'!B471^2</f>
        <v>3.5288254173476465</v>
      </c>
      <c r="F471">
        <f t="shared" si="7"/>
        <v>170.00000000000003</v>
      </c>
    </row>
    <row r="472" spans="1:6" x14ac:dyDescent="0.2">
      <c r="A472">
        <f>A471+'Inputs &amp; Outputs'!$B$6</f>
        <v>11.812388377497705</v>
      </c>
      <c r="B472">
        <f>Calculations!$A$3*SIN(SQRT('Inputs &amp; Outputs'!$B$4/'Inputs &amp; Outputs'!$B$5)*A472+Calculations!$A$7)</f>
        <v>-1.0854434497005854</v>
      </c>
      <c r="C472">
        <f>SQRT('Inputs &amp; Outputs'!$B$4/'Inputs &amp; Outputs'!$B$5)*Calculations!$A$3*COS(SQRT('Inputs &amp; Outputs'!$B$4/'Inputs &amp; Outputs'!$B$5)*A472+Calculations!$A$7)</f>
        <v>4.087230496237706</v>
      </c>
      <c r="D472">
        <f>1/2*'Inputs &amp; Outputs'!$B$5*'Analytical Steps'!C472^2</f>
        <v>167.05453129375525</v>
      </c>
      <c r="E472">
        <f>1/2*'Inputs &amp; Outputs'!$B$4*'Analytical Steps'!B472^2</f>
        <v>2.9454687062447684</v>
      </c>
      <c r="F472">
        <f t="shared" si="7"/>
        <v>170.00000000000003</v>
      </c>
    </row>
    <row r="473" spans="1:6" x14ac:dyDescent="0.2">
      <c r="A473">
        <f>A472+'Inputs &amp; Outputs'!$B$6</f>
        <v>11.837521118726423</v>
      </c>
      <c r="B473">
        <f>Calculations!$A$3*SIN(SQRT('Inputs &amp; Outputs'!$B$4/'Inputs &amp; Outputs'!$B$5)*A473+Calculations!$A$7)</f>
        <v>-0.98263714479244457</v>
      </c>
      <c r="C473">
        <f>SQRT('Inputs &amp; Outputs'!$B$4/'Inputs &amp; Outputs'!$B$5)*Calculations!$A$3*COS(SQRT('Inputs &amp; Outputs'!$B$4/'Inputs &amp; Outputs'!$B$5)*A473+Calculations!$A$7)</f>
        <v>4.0937276485397192</v>
      </c>
      <c r="D473">
        <f>1/2*'Inputs &amp; Outputs'!$B$5*'Analytical Steps'!C473^2</f>
        <v>167.58606060418541</v>
      </c>
      <c r="E473">
        <f>1/2*'Inputs &amp; Outputs'!$B$4*'Analytical Steps'!B473^2</f>
        <v>2.4139393958146189</v>
      </c>
      <c r="F473">
        <f t="shared" si="7"/>
        <v>170.00000000000003</v>
      </c>
    </row>
    <row r="474" spans="1:6" x14ac:dyDescent="0.2">
      <c r="A474">
        <f>A473+'Inputs &amp; Outputs'!$B$6</f>
        <v>11.862653859955142</v>
      </c>
      <c r="B474">
        <f>Calculations!$A$3*SIN(SQRT('Inputs &amp; Outputs'!$B$4/'Inputs &amp; Outputs'!$B$5)*A474+Calculations!$A$7)</f>
        <v>-0.87967567008804992</v>
      </c>
      <c r="C474">
        <f>SQRT('Inputs &amp; Outputs'!$B$4/'Inputs &amp; Outputs'!$B$5)*Calculations!$A$3*COS(SQRT('Inputs &amp; Outputs'!$B$4/'Inputs &amp; Outputs'!$B$5)*A474+Calculations!$A$7)</f>
        <v>4.0995783537900312</v>
      </c>
      <c r="D474">
        <f>1/2*'Inputs &amp; Outputs'!$B$5*'Analytical Steps'!C474^2</f>
        <v>168.06542678863781</v>
      </c>
      <c r="E474">
        <f>1/2*'Inputs &amp; Outputs'!$B$4*'Analytical Steps'!B474^2</f>
        <v>1.9345732113621492</v>
      </c>
      <c r="F474">
        <f t="shared" si="7"/>
        <v>169.99999999999994</v>
      </c>
    </row>
    <row r="475" spans="1:6" x14ac:dyDescent="0.2">
      <c r="A475">
        <f>A474+'Inputs &amp; Outputs'!$B$6</f>
        <v>11.88778660118386</v>
      </c>
      <c r="B475">
        <f>Calculations!$A$3*SIN(SQRT('Inputs &amp; Outputs'!$B$4/'Inputs &amp; Outputs'!$B$5)*A475+Calculations!$A$7)</f>
        <v>-0.77657528439782464</v>
      </c>
      <c r="C475">
        <f>SQRT('Inputs &amp; Outputs'!$B$4/'Inputs &amp; Outputs'!$B$5)*Calculations!$A$3*COS(SQRT('Inputs &amp; Outputs'!$B$4/'Inputs &amp; Outputs'!$B$5)*A475+Calculations!$A$7)</f>
        <v>4.1047816880944605</v>
      </c>
      <c r="D475">
        <f>1/2*'Inputs &amp; Outputs'!$B$5*'Analytical Steps'!C475^2</f>
        <v>168.49232706915609</v>
      </c>
      <c r="E475">
        <f>1/2*'Inputs &amp; Outputs'!$B$4*'Analytical Steps'!B475^2</f>
        <v>1.5076729308439054</v>
      </c>
      <c r="F475">
        <f t="shared" si="7"/>
        <v>170</v>
      </c>
    </row>
    <row r="476" spans="1:6" x14ac:dyDescent="0.2">
      <c r="A476">
        <f>A475+'Inputs &amp; Outputs'!$B$6</f>
        <v>11.912919342412579</v>
      </c>
      <c r="B476">
        <f>Calculations!$A$3*SIN(SQRT('Inputs &amp; Outputs'!$B$4/'Inputs &amp; Outputs'!$B$5)*A476+Calculations!$A$7)</f>
        <v>-0.67335226846784646</v>
      </c>
      <c r="C476">
        <f>SQRT('Inputs &amp; Outputs'!$B$4/'Inputs &amp; Outputs'!$B$5)*Calculations!$A$3*COS(SQRT('Inputs &amp; Outputs'!$B$4/'Inputs &amp; Outputs'!$B$5)*A476+Calculations!$A$7)</f>
        <v>4.1093368297862005</v>
      </c>
      <c r="D476">
        <f>1/2*'Inputs &amp; Outputs'!$B$5*'Analytical Steps'!C476^2</f>
        <v>168.86649180637301</v>
      </c>
      <c r="E476">
        <f>1/2*'Inputs &amp; Outputs'!$B$4*'Analytical Steps'!B476^2</f>
        <v>1.1335081936269868</v>
      </c>
      <c r="F476">
        <f t="shared" si="7"/>
        <v>170</v>
      </c>
    </row>
    <row r="477" spans="1:6" x14ac:dyDescent="0.2">
      <c r="A477">
        <f>A476+'Inputs &amp; Outputs'!$B$6</f>
        <v>11.938052083641297</v>
      </c>
      <c r="B477">
        <f>Calculations!$A$3*SIN(SQRT('Inputs &amp; Outputs'!$B$4/'Inputs &amp; Outputs'!$B$5)*A477+Calculations!$A$7)</f>
        <v>-0.57002292240893015</v>
      </c>
      <c r="C477">
        <f>SQRT('Inputs &amp; Outputs'!$B$4/'Inputs &amp; Outputs'!$B$5)*Calculations!$A$3*COS(SQRT('Inputs &amp; Outputs'!$B$4/'Inputs &amp; Outputs'!$B$5)*A477+Calculations!$A$7)</f>
        <v>4.1132430595555736</v>
      </c>
      <c r="D477">
        <f>1/2*'Inputs &amp; Outputs'!$B$5*'Analytical Steps'!C477^2</f>
        <v>169.18768466982098</v>
      </c>
      <c r="E477">
        <f>1/2*'Inputs &amp; Outputs'!$B$4*'Analytical Steps'!B477^2</f>
        <v>0.812315330179043</v>
      </c>
      <c r="F477">
        <f t="shared" si="7"/>
        <v>170.00000000000003</v>
      </c>
    </row>
    <row r="478" spans="1:6" x14ac:dyDescent="0.2">
      <c r="A478">
        <f>A477+'Inputs &amp; Outputs'!$B$6</f>
        <v>11.963184824870016</v>
      </c>
      <c r="B478">
        <f>Calculations!$A$3*SIN(SQRT('Inputs &amp; Outputs'!$B$4/'Inputs &amp; Outputs'!$B$5)*A478+Calculations!$A$7)</f>
        <v>-0.46660356312265011</v>
      </c>
      <c r="C478">
        <f>SQRT('Inputs &amp; Outputs'!$B$4/'Inputs &amp; Outputs'!$B$5)*Calculations!$A$3*COS(SQRT('Inputs &amp; Outputs'!$B$4/'Inputs &amp; Outputs'!$B$5)*A478+Calculations!$A$7)</f>
        <v>4.1164997605636167</v>
      </c>
      <c r="D478">
        <f>1/2*'Inputs &amp; Outputs'!$B$5*'Analytical Steps'!C478^2</f>
        <v>169.45570278720314</v>
      </c>
      <c r="E478">
        <f>1/2*'Inputs &amp; Outputs'!$B$4*'Analytical Steps'!B478^2</f>
        <v>0.54429721279688237</v>
      </c>
      <c r="F478">
        <f t="shared" si="7"/>
        <v>170.00000000000003</v>
      </c>
    </row>
    <row r="479" spans="1:6" x14ac:dyDescent="0.2">
      <c r="A479">
        <f>A478+'Inputs &amp; Outputs'!$B$6</f>
        <v>11.988317566098734</v>
      </c>
      <c r="B479">
        <f>Calculations!$A$3*SIN(SQRT('Inputs &amp; Outputs'!$B$4/'Inputs &amp; Outputs'!$B$5)*A479+Calculations!$A$7)</f>
        <v>-0.36311052172471292</v>
      </c>
      <c r="C479">
        <f>SQRT('Inputs &amp; Outputs'!$B$4/'Inputs &amp; Outputs'!$B$5)*Calculations!$A$3*COS(SQRT('Inputs &amp; Outputs'!$B$4/'Inputs &amp; Outputs'!$B$5)*A479+Calculations!$A$7)</f>
        <v>4.1191064185394879</v>
      </c>
      <c r="D479">
        <f>1/2*'Inputs &amp; Outputs'!$B$5*'Analytical Steps'!C479^2</f>
        <v>169.67037687253207</v>
      </c>
      <c r="E479">
        <f>1/2*'Inputs &amp; Outputs'!$B$4*'Analytical Steps'!B479^2</f>
        <v>0.32962312746798306</v>
      </c>
      <c r="F479">
        <f t="shared" si="7"/>
        <v>170.00000000000006</v>
      </c>
    </row>
    <row r="480" spans="1:6" x14ac:dyDescent="0.2">
      <c r="A480">
        <f>A479+'Inputs &amp; Outputs'!$B$6</f>
        <v>12.013450307327453</v>
      </c>
      <c r="B480">
        <f>Calculations!$A$3*SIN(SQRT('Inputs &amp; Outputs'!$B$4/'Inputs &amp; Outputs'!$B$5)*A480+Calculations!$A$7)</f>
        <v>-0.25956014096608471</v>
      </c>
      <c r="C480">
        <f>SQRT('Inputs &amp; Outputs'!$B$4/'Inputs &amp; Outputs'!$B$5)*Calculations!$A$3*COS(SQRT('Inputs &amp; Outputs'!$B$4/'Inputs &amp; Outputs'!$B$5)*A480+Calculations!$A$7)</f>
        <v>4.1210626218616744</v>
      </c>
      <c r="D480">
        <f>1/2*'Inputs &amp; Outputs'!$B$5*'Analytical Steps'!C480^2</f>
        <v>169.83157133305417</v>
      </c>
      <c r="E480">
        <f>1/2*'Inputs &amp; Outputs'!$B$4*'Analytical Steps'!B480^2</f>
        <v>0.16842866694583442</v>
      </c>
      <c r="F480">
        <f t="shared" si="7"/>
        <v>170</v>
      </c>
    </row>
    <row r="481" spans="1:6" x14ac:dyDescent="0.2">
      <c r="A481">
        <f>A480+'Inputs &amp; Outputs'!$B$6</f>
        <v>12.038583048556172</v>
      </c>
      <c r="B481">
        <f>Calculations!$A$3*SIN(SQRT('Inputs &amp; Outputs'!$B$4/'Inputs &amp; Outputs'!$B$5)*A481+Calculations!$A$7)</f>
        <v>-0.15596877265228135</v>
      </c>
      <c r="C481">
        <f>SQRT('Inputs &amp; Outputs'!$B$4/'Inputs &amp; Outputs'!$B$5)*Calculations!$A$3*COS(SQRT('Inputs &amp; Outputs'!$B$4/'Inputs &amp; Outputs'!$B$5)*A481+Calculations!$A$7)</f>
        <v>4.1223680616229954</v>
      </c>
      <c r="D481">
        <f>1/2*'Inputs &amp; Outputs'!$B$5*'Analytical Steps'!C481^2</f>
        <v>169.93918435489331</v>
      </c>
      <c r="E481">
        <f>1/2*'Inputs &amp; Outputs'!$B$4*'Analytical Steps'!B481^2</f>
        <v>6.0815645106647567E-2</v>
      </c>
      <c r="F481">
        <f t="shared" si="7"/>
        <v>169.99999999999997</v>
      </c>
    </row>
    <row r="482" spans="1:6" x14ac:dyDescent="0.2">
      <c r="A482">
        <f>A481+'Inputs &amp; Outputs'!$B$6</f>
        <v>12.06371578978489</v>
      </c>
      <c r="B482">
        <f>Calculations!$A$3*SIN(SQRT('Inputs &amp; Outputs'!$B$4/'Inputs &amp; Outputs'!$B$5)*A482+Calculations!$A$7)</f>
        <v>-5.235277506122879E-2</v>
      </c>
      <c r="C482">
        <f>SQRT('Inputs &amp; Outputs'!$B$4/'Inputs &amp; Outputs'!$B$5)*Calculations!$A$3*COS(SQRT('Inputs &amp; Outputs'!$B$4/'Inputs &amp; Outputs'!$B$5)*A482+Calculations!$A$7)</f>
        <v>4.1230225316793803</v>
      </c>
      <c r="D482">
        <f>1/2*'Inputs &amp; Outputs'!$B$5*'Analytical Steps'!C482^2</f>
        <v>169.99314796735845</v>
      </c>
      <c r="E482">
        <f>1/2*'Inputs &amp; Outputs'!$B$4*'Analytical Steps'!B482^2</f>
        <v>6.8520326415290479E-3</v>
      </c>
      <c r="F482">
        <f t="shared" si="7"/>
        <v>169.99999999999997</v>
      </c>
    </row>
    <row r="483" spans="1:6" x14ac:dyDescent="0.2">
      <c r="A483">
        <f>A482+'Inputs &amp; Outputs'!$B$6</f>
        <v>12.088848531013609</v>
      </c>
      <c r="B483">
        <f>Calculations!$A$3*SIN(SQRT('Inputs &amp; Outputs'!$B$4/'Inputs &amp; Outputs'!$B$5)*A483+Calculations!$A$7)</f>
        <v>5.1271489639898547E-2</v>
      </c>
      <c r="C483">
        <f>SQRT('Inputs &amp; Outputs'!$B$4/'Inputs &amp; Outputs'!$B$5)*Calculations!$A$3*COS(SQRT('Inputs &amp; Outputs'!$B$4/'Inputs &amp; Outputs'!$B$5)*A483+Calculations!$A$7)</f>
        <v>4.1230259286824191</v>
      </c>
      <c r="D483">
        <f>1/2*'Inputs &amp; Outputs'!$B$5*'Analytical Steps'!C483^2</f>
        <v>169.99342808587525</v>
      </c>
      <c r="E483">
        <f>1/2*'Inputs &amp; Outputs'!$B$4*'Analytical Steps'!B483^2</f>
        <v>6.5719141247355594E-3</v>
      </c>
      <c r="F483">
        <f t="shared" si="7"/>
        <v>170</v>
      </c>
    </row>
    <row r="484" spans="1:6" x14ac:dyDescent="0.2">
      <c r="A484">
        <f>A483+'Inputs &amp; Outputs'!$B$6</f>
        <v>12.113981272242327</v>
      </c>
      <c r="B484">
        <f>Calculations!$A$3*SIN(SQRT('Inputs &amp; Outputs'!$B$4/'Inputs &amp; Outputs'!$B$5)*A484+Calculations!$A$7)</f>
        <v>0.1548876579784538</v>
      </c>
      <c r="C484">
        <f>SQRT('Inputs &amp; Outputs'!$B$4/'Inputs &amp; Outputs'!$B$5)*Calculations!$A$3*COS(SQRT('Inputs &amp; Outputs'!$B$4/'Inputs &amp; Outputs'!$B$5)*A484+Calculations!$A$7)</f>
        <v>4.1223782520956869</v>
      </c>
      <c r="D484">
        <f>1/2*'Inputs &amp; Outputs'!$B$5*'Analytical Steps'!C484^2</f>
        <v>169.94002453351493</v>
      </c>
      <c r="E484">
        <f>1/2*'Inputs &amp; Outputs'!$B$4*'Analytical Steps'!B484^2</f>
        <v>5.9975466485126208E-2</v>
      </c>
      <c r="F484">
        <f t="shared" si="7"/>
        <v>170.00000000000006</v>
      </c>
    </row>
    <row r="485" spans="1:6" x14ac:dyDescent="0.2">
      <c r="A485">
        <f>A484+'Inputs &amp; Outputs'!$B$6</f>
        <v>12.139114013471046</v>
      </c>
      <c r="B485">
        <f>Calculations!$A$3*SIN(SQRT('Inputs &amp; Outputs'!$B$4/'Inputs &amp; Outputs'!$B$5)*A485+Calculations!$A$7)</f>
        <v>0.25847936776029951</v>
      </c>
      <c r="C485">
        <f>SQRT('Inputs &amp; Outputs'!$B$4/'Inputs &amp; Outputs'!$B$5)*Calculations!$A$3*COS(SQRT('Inputs &amp; Outputs'!$B$4/'Inputs &amp; Outputs'!$B$5)*A485+Calculations!$A$7)</f>
        <v>4.121079604194823</v>
      </c>
      <c r="D485">
        <f>1/2*'Inputs &amp; Outputs'!$B$5*'Analytical Steps'!C485^2</f>
        <v>169.83297104110559</v>
      </c>
      <c r="E485">
        <f>1/2*'Inputs &amp; Outputs'!$B$4*'Analytical Steps'!B485^2</f>
        <v>0.16702895889441041</v>
      </c>
      <c r="F485">
        <f t="shared" si="7"/>
        <v>170</v>
      </c>
    </row>
    <row r="486" spans="1:6" x14ac:dyDescent="0.2">
      <c r="A486">
        <f>A485+'Inputs &amp; Outputs'!$B$6</f>
        <v>12.164246754699764</v>
      </c>
      <c r="B486">
        <f>Calculations!$A$3*SIN(SQRT('Inputs &amp; Outputs'!$B$4/'Inputs &amp; Outputs'!$B$5)*A486+Calculations!$A$7)</f>
        <v>0.36203026065358801</v>
      </c>
      <c r="C486">
        <f>SQRT('Inputs &amp; Outputs'!$B$4/'Inputs &amp; Outputs'!$B$5)*Calculations!$A$3*COS(SQRT('Inputs &amp; Outputs'!$B$4/'Inputs &amp; Outputs'!$B$5)*A486+Calculations!$A$7)</f>
        <v>4.1191301900513873</v>
      </c>
      <c r="D486">
        <f>1/2*'Inputs &amp; Outputs'!$B$5*'Analytical Steps'!C486^2</f>
        <v>169.67233522592778</v>
      </c>
      <c r="E486">
        <f>1/2*'Inputs &amp; Outputs'!$B$4*'Analytical Steps'!B486^2</f>
        <v>0.32766477407226219</v>
      </c>
      <c r="F486">
        <f t="shared" si="7"/>
        <v>170.00000000000006</v>
      </c>
    </row>
    <row r="487" spans="1:6" x14ac:dyDescent="0.2">
      <c r="A487">
        <f>A486+'Inputs &amp; Outputs'!$B$6</f>
        <v>12.189379495928483</v>
      </c>
      <c r="B487">
        <f>Calculations!$A$3*SIN(SQRT('Inputs &amp; Outputs'!$B$4/'Inputs &amp; Outputs'!$B$5)*A487+Calculations!$A$7)</f>
        <v>0.46552398477193141</v>
      </c>
      <c r="C487">
        <f>SQRT('Inputs &amp; Outputs'!$B$4/'Inputs &amp; Outputs'!$B$5)*Calculations!$A$3*COS(SQRT('Inputs &amp; Outputs'!$B$4/'Inputs &amp; Outputs'!$B$5)*A487+Calculations!$A$7)</f>
        <v>4.1165303175004695</v>
      </c>
      <c r="D487">
        <f>1/2*'Inputs &amp; Outputs'!$B$5*'Analytical Steps'!C487^2</f>
        <v>169.45821854900515</v>
      </c>
      <c r="E487">
        <f>1/2*'Inputs &amp; Outputs'!$B$4*'Analytical Steps'!B487^2</f>
        <v>0.54178145099484354</v>
      </c>
      <c r="F487">
        <f t="shared" si="7"/>
        <v>170</v>
      </c>
    </row>
    <row r="488" spans="1:6" x14ac:dyDescent="0.2">
      <c r="A488">
        <f>A487+'Inputs &amp; Outputs'!$B$6</f>
        <v>12.214512237157201</v>
      </c>
      <c r="B488">
        <f>Calculations!$A$3*SIN(SQRT('Inputs &amp; Outputs'!$B$4/'Inputs &amp; Outputs'!$B$5)*A488+Calculations!$A$7)</f>
        <v>0.5689441972565541</v>
      </c>
      <c r="C488">
        <f>SQRT('Inputs &amp; Outputs'!$B$4/'Inputs &amp; Outputs'!$B$5)*Calculations!$A$3*COS(SQRT('Inputs &amp; Outputs'!$B$4/'Inputs &amp; Outputs'!$B$5)*A488+Calculations!$A$7)</f>
        <v>4.113280397092085</v>
      </c>
      <c r="D488">
        <f>1/2*'Inputs &amp; Outputs'!$B$5*'Analytical Steps'!C488^2</f>
        <v>169.19075625102022</v>
      </c>
      <c r="E488">
        <f>1/2*'Inputs &amp; Outputs'!$B$4*'Analytical Steps'!B488^2</f>
        <v>0.80924374897976192</v>
      </c>
      <c r="F488">
        <f t="shared" si="7"/>
        <v>169.99999999999997</v>
      </c>
    </row>
    <row r="489" spans="1:6" x14ac:dyDescent="0.2">
      <c r="A489">
        <f>A488+'Inputs &amp; Outputs'!$B$6</f>
        <v>12.23964497838592</v>
      </c>
      <c r="B489">
        <f>Calculations!$A$3*SIN(SQRT('Inputs &amp; Outputs'!$B$4/'Inputs &amp; Outputs'!$B$5)*A489+Calculations!$A$7)</f>
        <v>0.67227456685701958</v>
      </c>
      <c r="C489">
        <f>SQRT('Inputs &amp; Outputs'!$B$4/'Inputs &amp; Outputs'!$B$5)*Calculations!$A$3*COS(SQRT('Inputs &amp; Outputs'!$B$4/'Inputs &amp; Outputs'!$B$5)*A489+Calculations!$A$7)</f>
        <v>4.1093809420263412</v>
      </c>
      <c r="D489">
        <f>1/2*'Inputs &amp; Outputs'!$B$5*'Analytical Steps'!C489^2</f>
        <v>168.87011726689298</v>
      </c>
      <c r="E489">
        <f>1/2*'Inputs &amp; Outputs'!$B$4*'Analytical Steps'!B489^2</f>
        <v>1.1298827331069834</v>
      </c>
      <c r="F489">
        <f t="shared" si="7"/>
        <v>169.99999999999997</v>
      </c>
    </row>
    <row r="490" spans="1:6" x14ac:dyDescent="0.2">
      <c r="A490">
        <f>A489+'Inputs &amp; Outputs'!$B$6</f>
        <v>12.264777719614639</v>
      </c>
      <c r="B490">
        <f>Calculations!$A$3*SIN(SQRT('Inputs &amp; Outputs'!$B$4/'Inputs &amp; Outputs'!$B$5)*A490+Calculations!$A$7)</f>
        <v>0.77549877651012433</v>
      </c>
      <c r="C490">
        <f>SQRT('Inputs &amp; Outputs'!$B$4/'Inputs &amp; Outputs'!$B$5)*Calculations!$A$3*COS(SQRT('Inputs &amp; Outputs'!$B$4/'Inputs &amp; Outputs'!$B$5)*A490+Calculations!$A$7)</f>
        <v>4.1048325680723963</v>
      </c>
      <c r="D490">
        <f>1/2*'Inputs &amp; Outputs'!$B$5*'Analytical Steps'!C490^2</f>
        <v>168.49650411907822</v>
      </c>
      <c r="E490">
        <f>1/2*'Inputs &amp; Outputs'!$B$4*'Analytical Steps'!B490^2</f>
        <v>1.5034958809217494</v>
      </c>
      <c r="F490">
        <f t="shared" si="7"/>
        <v>169.99999999999997</v>
      </c>
    </row>
    <row r="491" spans="1:6" x14ac:dyDescent="0.2">
      <c r="A491">
        <f>A490+'Inputs &amp; Outputs'!$B$6</f>
        <v>12.289910460843357</v>
      </c>
      <c r="B491">
        <f>Calculations!$A$3*SIN(SQRT('Inputs &amp; Outputs'!$B$4/'Inputs &amp; Outputs'!$B$5)*A491+Calculations!$A$7)</f>
        <v>0.87860052591655102</v>
      </c>
      <c r="C491">
        <f>SQRT('Inputs &amp; Outputs'!$B$4/'Inputs &amp; Outputs'!$B$5)*Calculations!$A$3*COS(SQRT('Inputs &amp; Outputs'!$B$4/'Inputs &amp; Outputs'!$B$5)*A491+Calculations!$A$7)</f>
        <v>4.0996359934712236</v>
      </c>
      <c r="D491">
        <f>1/2*'Inputs &amp; Outputs'!$B$5*'Analytical Steps'!C491^2</f>
        <v>168.07015278964786</v>
      </c>
      <c r="E491">
        <f>1/2*'Inputs &amp; Outputs'!$B$4*'Analytical Steps'!B491^2</f>
        <v>1.9298472103521001</v>
      </c>
      <c r="F491">
        <f t="shared" si="7"/>
        <v>169.99999999999997</v>
      </c>
    </row>
    <row r="492" spans="1:6" x14ac:dyDescent="0.2">
      <c r="A492">
        <f>A491+'Inputs &amp; Outputs'!$B$6</f>
        <v>12.315043202072076</v>
      </c>
      <c r="B492">
        <f>Calculations!$A$3*SIN(SQRT('Inputs &amp; Outputs'!$B$4/'Inputs &amp; Outputs'!$B$5)*A492+Calculations!$A$7)</f>
        <v>0.98156353411487518</v>
      </c>
      <c r="C492">
        <f>SQRT('Inputs &amp; Outputs'!$B$4/'Inputs &amp; Outputs'!$B$5)*Calculations!$A$3*COS(SQRT('Inputs &amp; Outputs'!$B$4/'Inputs &amp; Outputs'!$B$5)*A492+Calculations!$A$7)</f>
        <v>4.093792038822194</v>
      </c>
      <c r="D492">
        <f>1/2*'Inputs &amp; Outputs'!$B$5*'Analytical Steps'!C492^2</f>
        <v>167.59133257123978</v>
      </c>
      <c r="E492">
        <f>1/2*'Inputs &amp; Outputs'!$B$4*'Analytical Steps'!B492^2</f>
        <v>2.4086674287602095</v>
      </c>
      <c r="F492">
        <f t="shared" si="7"/>
        <v>169.99999999999997</v>
      </c>
    </row>
    <row r="493" spans="1:6" x14ac:dyDescent="0.2">
      <c r="A493">
        <f>A492+'Inputs &amp; Outputs'!$B$6</f>
        <v>12.340175943300794</v>
      </c>
      <c r="B493">
        <f>Calculations!$A$3*SIN(SQRT('Inputs &amp; Outputs'!$B$4/'Inputs &amp; Outputs'!$B$5)*A493+Calculations!$A$7)</f>
        <v>1.0843715420525171</v>
      </c>
      <c r="C493">
        <f>SQRT('Inputs &amp; Outputs'!$B$4/'Inputs &amp; Outputs'!$B$5)*Calculations!$A$3*COS(SQRT('Inputs &amp; Outputs'!$B$4/'Inputs &amp; Outputs'!$B$5)*A493+Calculations!$A$7)</f>
        <v>4.0873016269534919</v>
      </c>
      <c r="D493">
        <f>1/2*'Inputs &amp; Outputs'!$B$5*'Analytical Steps'!C493^2</f>
        <v>167.0603458969666</v>
      </c>
      <c r="E493">
        <f>1/2*'Inputs &amp; Outputs'!$B$4*'Analytical Steps'!B493^2</f>
        <v>2.9396541030333845</v>
      </c>
      <c r="F493">
        <f t="shared" si="7"/>
        <v>169.99999999999997</v>
      </c>
    </row>
    <row r="494" spans="1:6" x14ac:dyDescent="0.2">
      <c r="A494">
        <f>A493+'Inputs &amp; Outputs'!$B$6</f>
        <v>12.365308684529513</v>
      </c>
      <c r="B494">
        <f>Calculations!$A$3*SIN(SQRT('Inputs &amp; Outputs'!$B$4/'Inputs &amp; Outputs'!$B$5)*A494+Calculations!$A$7)</f>
        <v>1.1870083151532353</v>
      </c>
      <c r="C494">
        <f>SQRT('Inputs &amp; Outputs'!$B$4/'Inputs &amp; Outputs'!$B$5)*Calculations!$A$3*COS(SQRT('Inputs &amp; Outputs'!$B$4/'Inputs &amp; Outputs'!$B$5)*A494+Calculations!$A$7)</f>
        <v>4.0801657827763895</v>
      </c>
      <c r="D494">
        <f>1/2*'Inputs &amp; Outputs'!$B$5*'Analytical Steps'!C494^2</f>
        <v>166.47752814939267</v>
      </c>
      <c r="E494">
        <f>1/2*'Inputs &amp; Outputs'!$B$4*'Analytical Steps'!B494^2</f>
        <v>3.5224718506073058</v>
      </c>
      <c r="F494">
        <f t="shared" si="7"/>
        <v>169.99999999999997</v>
      </c>
    </row>
    <row r="495" spans="1:6" x14ac:dyDescent="0.2">
      <c r="A495">
        <f>A494+'Inputs &amp; Outputs'!$B$6</f>
        <v>12.390441425758231</v>
      </c>
      <c r="B495">
        <f>Calculations!$A$3*SIN(SQRT('Inputs &amp; Outputs'!$B$4/'Inputs &amp; Outputs'!$B$5)*A495+Calculations!$A$7)</f>
        <v>1.2894576458807538</v>
      </c>
      <c r="C495">
        <f>SQRT('Inputs &amp; Outputs'!$B$4/'Inputs &amp; Outputs'!$B$5)*Calculations!$A$3*COS(SQRT('Inputs &amp; Outputs'!$B$4/'Inputs &amp; Outputs'!$B$5)*A495+Calculations!$A$7)</f>
        <v>4.072385633123405</v>
      </c>
      <c r="D495">
        <f>1/2*'Inputs &amp; Outputs'!$B$5*'Analytical Steps'!C495^2</f>
        <v>165.84324744869917</v>
      </c>
      <c r="E495">
        <f>1/2*'Inputs &amp; Outputs'!$B$4*'Analytical Steps'!B495^2</f>
        <v>4.1567525513008388</v>
      </c>
      <c r="F495">
        <f t="shared" si="7"/>
        <v>170</v>
      </c>
    </row>
    <row r="496" spans="1:6" x14ac:dyDescent="0.2">
      <c r="A496">
        <f>A495+'Inputs &amp; Outputs'!$B$6</f>
        <v>12.41557416698695</v>
      </c>
      <c r="B496">
        <f>Calculations!$A$3*SIN(SQRT('Inputs &amp; Outputs'!$B$4/'Inputs &amp; Outputs'!$B$5)*A496+Calculations!$A$7)</f>
        <v>1.3917033562981205</v>
      </c>
      <c r="C496">
        <f>SQRT('Inputs &amp; Outputs'!$B$4/'Inputs &amp; Outputs'!$B$5)*Calculations!$A$3*COS(SQRT('Inputs &amp; Outputs'!$B$4/'Inputs &amp; Outputs'!$B$5)*A496+Calculations!$A$7)</f>
        <v>4.0639624065703579</v>
      </c>
      <c r="D496">
        <f>1/2*'Inputs &amp; Outputs'!$B$5*'Analytical Steps'!C496^2</f>
        <v>165.15790442017135</v>
      </c>
      <c r="E496">
        <f>1/2*'Inputs &amp; Outputs'!$B$4*'Analytical Steps'!B496^2</f>
        <v>4.8420955798286327</v>
      </c>
      <c r="F496">
        <f t="shared" si="7"/>
        <v>169.99999999999997</v>
      </c>
    </row>
    <row r="497" spans="1:6" x14ac:dyDescent="0.2">
      <c r="A497">
        <f>A496+'Inputs &amp; Outputs'!$B$6</f>
        <v>12.440706908215668</v>
      </c>
      <c r="B497">
        <f>Calculations!$A$3*SIN(SQRT('Inputs &amp; Outputs'!$B$4/'Inputs &amp; Outputs'!$B$5)*A497+Calculations!$A$7)</f>
        <v>1.4937293006223906</v>
      </c>
      <c r="C497">
        <f>SQRT('Inputs &amp; Outputs'!$B$4/'Inputs &amp; Outputs'!$B$5)*Calculations!$A$3*COS(SQRT('Inputs &amp; Outputs'!$B$4/'Inputs &amp; Outputs'!$B$5)*A497+Calculations!$A$7)</f>
        <v>4.0548974332423668</v>
      </c>
      <c r="D497">
        <f>1/2*'Inputs &amp; Outputs'!$B$5*'Analytical Steps'!C497^2</f>
        <v>164.42193194115535</v>
      </c>
      <c r="E497">
        <f>1/2*'Inputs &amp; Outputs'!$B$4*'Analytical Steps'!B497^2</f>
        <v>5.5780680588446412</v>
      </c>
      <c r="F497">
        <f t="shared" si="7"/>
        <v>170</v>
      </c>
    </row>
    <row r="498" spans="1:6" x14ac:dyDescent="0.2">
      <c r="A498">
        <f>A497+'Inputs &amp; Outputs'!$B$6</f>
        <v>12.465839649444387</v>
      </c>
      <c r="B498">
        <f>Calculations!$A$3*SIN(SQRT('Inputs &amp; Outputs'!$B$4/'Inputs &amp; Outputs'!$B$5)*A498+Calculations!$A$7)</f>
        <v>1.595519367774233</v>
      </c>
      <c r="C498">
        <f>SQRT('Inputs &amp; Outputs'!$B$4/'Inputs &amp; Outputs'!$B$5)*Calculations!$A$3*COS(SQRT('Inputs &amp; Outputs'!$B$4/'Inputs &amp; Outputs'!$B$5)*A498+Calculations!$A$7)</f>
        <v>4.0451921446038046</v>
      </c>
      <c r="D498">
        <f>1/2*'Inputs &amp; Outputs'!$B$5*'Analytical Steps'!C498^2</f>
        <v>163.63579486764326</v>
      </c>
      <c r="E498">
        <f>1/2*'Inputs &amp; Outputs'!$B$4*'Analytical Steps'!B498^2</f>
        <v>6.3642051323567204</v>
      </c>
      <c r="F498">
        <f t="shared" si="7"/>
        <v>169.99999999999997</v>
      </c>
    </row>
    <row r="499" spans="1:6" x14ac:dyDescent="0.2">
      <c r="A499">
        <f>A498+'Inputs &amp; Outputs'!$B$6</f>
        <v>12.490972390673106</v>
      </c>
      <c r="B499">
        <f>Calculations!$A$3*SIN(SQRT('Inputs &amp; Outputs'!$B$4/'Inputs &amp; Outputs'!$B$5)*A499+Calculations!$A$7)</f>
        <v>1.6970574839220565</v>
      </c>
      <c r="C499">
        <f>SQRT('Inputs &amp; Outputs'!$B$4/'Inputs &amp; Outputs'!$B$5)*Calculations!$A$3*COS(SQRT('Inputs &amp; Outputs'!$B$4/'Inputs &amp; Outputs'!$B$5)*A499+Calculations!$A$7)</f>
        <v>4.0348480732322543</v>
      </c>
      <c r="D499">
        <f>1/2*'Inputs &amp; Outputs'!$B$5*'Analytical Steps'!C499^2</f>
        <v>162.79998974066035</v>
      </c>
      <c r="E499">
        <f>1/2*'Inputs &amp; Outputs'!$B$4*'Analytical Steps'!B499^2</f>
        <v>7.2000102593396518</v>
      </c>
      <c r="F499">
        <f t="shared" si="7"/>
        <v>170</v>
      </c>
    </row>
    <row r="500" spans="1:6" x14ac:dyDescent="0.2">
      <c r="A500">
        <f>A499+'Inputs &amp; Outputs'!$B$6</f>
        <v>12.516105131901824</v>
      </c>
      <c r="B500">
        <f>Calculations!$A$3*SIN(SQRT('Inputs &amp; Outputs'!$B$4/'Inputs &amp; Outputs'!$B$5)*A500+Calculations!$A$7)</f>
        <v>1.7983276150202545</v>
      </c>
      <c r="C500">
        <f>SQRT('Inputs &amp; Outputs'!$B$4/'Inputs &amp; Outputs'!$B$5)*Calculations!$A$3*COS(SQRT('Inputs &amp; Outputs'!$B$4/'Inputs &amp; Outputs'!$B$5)*A500+Calculations!$A$7)</f>
        <v>4.0238668525764982</v>
      </c>
      <c r="D500">
        <f>1/2*'Inputs &amp; Outputs'!$B$5*'Analytical Steps'!C500^2</f>
        <v>161.91504447263895</v>
      </c>
      <c r="E500">
        <f>1/2*'Inputs &amp; Outputs'!$B$4*'Analytical Steps'!B500^2</f>
        <v>8.0849555273610925</v>
      </c>
      <c r="F500">
        <f t="shared" si="7"/>
        <v>170.00000000000006</v>
      </c>
    </row>
    <row r="501" spans="1:6" x14ac:dyDescent="0.2">
      <c r="A501">
        <f>A500+'Inputs &amp; Outputs'!$B$6</f>
        <v>12.541237873130543</v>
      </c>
      <c r="B501">
        <f>Calculations!$A$3*SIN(SQRT('Inputs &amp; Outputs'!$B$4/'Inputs &amp; Outputs'!$B$5)*A501+Calculations!$A$7)</f>
        <v>1.8993137693411657</v>
      </c>
      <c r="C501">
        <f>SQRT('Inputs &amp; Outputs'!$B$4/'Inputs &amp; Outputs'!$B$5)*Calculations!$A$3*COS(SQRT('Inputs &amp; Outputs'!$B$4/'Inputs &amp; Outputs'!$B$5)*A501+Calculations!$A$7)</f>
        <v>4.0122502166985754</v>
      </c>
      <c r="D501">
        <f>1/2*'Inputs &amp; Outputs'!$B$5*'Analytical Steps'!C501^2</f>
        <v>160.98151801397765</v>
      </c>
      <c r="E501">
        <f>1/2*'Inputs &amp; Outputs'!$B$4*'Analytical Steps'!B501^2</f>
        <v>9.0184819860223655</v>
      </c>
      <c r="F501">
        <f t="shared" si="7"/>
        <v>170</v>
      </c>
    </row>
    <row r="502" spans="1:6" x14ac:dyDescent="0.2">
      <c r="A502">
        <f>A501+'Inputs &amp; Outputs'!$B$6</f>
        <v>12.566370614359261</v>
      </c>
      <c r="B502">
        <f>Calculations!$A$3*SIN(SQRT('Inputs &amp; Outputs'!$B$4/'Inputs &amp; Outputs'!$B$5)*A502+Calculations!$A$7)</f>
        <v>2.0000000000003539</v>
      </c>
      <c r="C502">
        <f>SQRT('Inputs &amp; Outputs'!$B$4/'Inputs &amp; Outputs'!$B$5)*Calculations!$A$3*COS(SQRT('Inputs &amp; Outputs'!$B$4/'Inputs &amp; Outputs'!$B$5)*A502+Calculations!$A$7)</f>
        <v>3.999999999999956</v>
      </c>
      <c r="D502">
        <f>1/2*'Inputs &amp; Outputs'!$B$5*'Analytical Steps'!C502^2</f>
        <v>159.99999999999648</v>
      </c>
      <c r="E502">
        <f>1/2*'Inputs &amp; Outputs'!$B$4*'Analytical Steps'!B502^2</f>
        <v>10.000000000003539</v>
      </c>
      <c r="F502">
        <f t="shared" si="7"/>
        <v>170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502"/>
  <sheetViews>
    <sheetView workbookViewId="0">
      <selection activeCell="D4" sqref="D4"/>
    </sheetView>
  </sheetViews>
  <sheetFormatPr baseColWidth="10" defaultRowHeight="16" x14ac:dyDescent="0.2"/>
  <cols>
    <col min="5" max="5" width="12.6640625" bestFit="1" customWidth="1"/>
    <col min="6" max="6" width="14.5" bestFit="1" customWidth="1"/>
    <col min="7" max="7" width="12.1640625" bestFit="1" customWidth="1"/>
  </cols>
  <sheetData>
    <row r="1" spans="1:7" x14ac:dyDescent="0.2">
      <c r="A1" t="s">
        <v>9</v>
      </c>
      <c r="B1" t="s">
        <v>10</v>
      </c>
      <c r="C1" t="s">
        <v>11</v>
      </c>
      <c r="D1" t="s">
        <v>12</v>
      </c>
      <c r="E1" t="s">
        <v>22</v>
      </c>
      <c r="F1" t="s">
        <v>23</v>
      </c>
      <c r="G1" t="s">
        <v>24</v>
      </c>
    </row>
    <row r="2" spans="1:7" x14ac:dyDescent="0.2">
      <c r="A2">
        <v>0</v>
      </c>
      <c r="B2">
        <f>'Inputs &amp; Outputs'!B2</f>
        <v>2</v>
      </c>
      <c r="C2">
        <f>'Inputs &amp; Outputs'!B3</f>
        <v>4</v>
      </c>
      <c r="D2">
        <f>(-'Inputs &amp; Outputs'!$B$4*B2)/'Inputs &amp; Outputs'!$B$5</f>
        <v>-0.5</v>
      </c>
      <c r="E2">
        <f>1/2*'Inputs &amp; Outputs'!$B$5*'Iterative Steps'!C2^2</f>
        <v>160</v>
      </c>
      <c r="F2">
        <f>1/2*'Inputs &amp; Outputs'!$B$4*'Iterative Steps'!B2^2</f>
        <v>10</v>
      </c>
      <c r="G2">
        <f t="shared" ref="G2" si="0">SUM(E2:F2)</f>
        <v>170</v>
      </c>
    </row>
    <row r="3" spans="1:7" x14ac:dyDescent="0.2">
      <c r="A3">
        <f>A2+'Inputs &amp; Outputs'!$B$6</f>
        <v>2.5132741228718346E-2</v>
      </c>
      <c r="B3">
        <f>B2+C3*'Inputs &amp; Outputs'!$B$6</f>
        <v>2.1002151375740383</v>
      </c>
      <c r="C3">
        <f>C2+D2*'Inputs &amp; Outputs'!$B$6</f>
        <v>3.9874336293856407</v>
      </c>
      <c r="D3">
        <f>(-'Inputs &amp; Outputs'!$B$4*B3)/'Inputs &amp; Outputs'!$B$5</f>
        <v>-0.52505378439350958</v>
      </c>
      <c r="E3">
        <f>1/2*'Inputs &amp; Outputs'!$B$5*'Iterative Steps'!C3^2</f>
        <v>158.99626948755542</v>
      </c>
      <c r="F3">
        <f>1/2*'Inputs &amp; Outputs'!$B$4*'Iterative Steps'!B3^2</f>
        <v>11.027259060237842</v>
      </c>
      <c r="G3">
        <f t="shared" ref="G3:G66" si="1">SUM(E3:F3)</f>
        <v>170.02352854779326</v>
      </c>
    </row>
    <row r="4" spans="1:7" x14ac:dyDescent="0.2">
      <c r="A4">
        <f>A3+'Inputs &amp; Outputs'!$B$6</f>
        <v>5.0265482457436693E-2</v>
      </c>
      <c r="B4">
        <f>B3+C4*'Inputs &amp; Outputs'!$B$6</f>
        <v>2.2000986224670362</v>
      </c>
      <c r="C4">
        <f>C3+D3*'Inputs &amp; Outputs'!$B$6</f>
        <v>3.9742375884913193</v>
      </c>
      <c r="D4">
        <f>(-'Inputs &amp; Outputs'!$B$4*B4)/'Inputs &amp; Outputs'!$B$5</f>
        <v>-0.55002465561675906</v>
      </c>
      <c r="E4">
        <f>1/2*'Inputs &amp; Outputs'!$B$5*'Iterative Steps'!C4^2</f>
        <v>157.94564409777297</v>
      </c>
      <c r="F4">
        <f>1/2*'Inputs &amp; Outputs'!$B$4*'Iterative Steps'!B4^2</f>
        <v>12.101084871453375</v>
      </c>
      <c r="G4">
        <f t="shared" si="1"/>
        <v>170.04672896922634</v>
      </c>
    </row>
    <row r="5" spans="1:7" x14ac:dyDescent="0.2">
      <c r="A5">
        <f>A4+'Inputs &amp; Outputs'!$B$6</f>
        <v>7.5398223686155036E-2</v>
      </c>
      <c r="B5">
        <f>B4+C5*'Inputs &amp; Outputs'!$B$6</f>
        <v>2.29963468171128</v>
      </c>
      <c r="C5">
        <f>C4+D4*'Inputs &amp; Outputs'!$B$6</f>
        <v>3.9604139611522884</v>
      </c>
      <c r="D5">
        <f>(-'Inputs &amp; Outputs'!$B$4*B5)/'Inputs &amp; Outputs'!$B$5</f>
        <v>-0.57490867042782001</v>
      </c>
      <c r="E5">
        <f>1/2*'Inputs &amp; Outputs'!$B$5*'Iterative Steps'!C5^2</f>
        <v>156.84878743689958</v>
      </c>
      <c r="F5">
        <f>1/2*'Inputs &amp; Outputs'!$B$4*'Iterative Steps'!B5^2</f>
        <v>13.22079917332335</v>
      </c>
      <c r="G5">
        <f t="shared" si="1"/>
        <v>170.06958661022293</v>
      </c>
    </row>
    <row r="6" spans="1:7" x14ac:dyDescent="0.2">
      <c r="A6">
        <f>A5+'Inputs &amp; Outputs'!$B$6</f>
        <v>0.10053096491487339</v>
      </c>
      <c r="B6">
        <f>B5+C6*'Inputs &amp; Outputs'!$B$6</f>
        <v>2.3988075972023157</v>
      </c>
      <c r="C6">
        <f>C5+D5*'Inputs &amp; Outputs'!$B$6</f>
        <v>3.9459649303082793</v>
      </c>
      <c r="D6">
        <f>(-'Inputs &amp; Outputs'!$B$4*B6)/'Inputs &amp; Outputs'!$B$5</f>
        <v>-0.59970189930057893</v>
      </c>
      <c r="E6">
        <f>1/2*'Inputs &amp; Outputs'!$B$5*'Iterative Steps'!C6^2</f>
        <v>155.70639231222825</v>
      </c>
      <c r="F6">
        <f>1/2*'Inputs &amp; Outputs'!$B$4*'Iterative Steps'!B6^2</f>
        <v>14.385694720988869</v>
      </c>
      <c r="G6">
        <f t="shared" si="1"/>
        <v>170.09208703321713</v>
      </c>
    </row>
    <row r="7" spans="1:7" x14ac:dyDescent="0.2">
      <c r="A7">
        <f>A6+'Inputs &amp; Outputs'!$B$6</f>
        <v>0.12566370614359174</v>
      </c>
      <c r="B7">
        <f>B6+C7*'Inputs &amp; Outputs'!$B$6</f>
        <v>2.497601708181052</v>
      </c>
      <c r="C7">
        <f>C6+D6*'Inputs &amp; Outputs'!$B$6</f>
        <v>3.9308927776587868</v>
      </c>
      <c r="D7">
        <f>(-'Inputs &amp; Outputs'!$B$4*B7)/'Inputs &amp; Outputs'!$B$5</f>
        <v>-0.624400427045263</v>
      </c>
      <c r="E7">
        <f>1/2*'Inputs &amp; Outputs'!$B$5*'Iterative Steps'!C7^2</f>
        <v>154.5191802945001</v>
      </c>
      <c r="F7">
        <f>1/2*'Inputs &amp; Outputs'!$B$4*'Iterative Steps'!B7^2</f>
        <v>15.595035731772271</v>
      </c>
      <c r="G7">
        <f t="shared" si="1"/>
        <v>170.11421602627237</v>
      </c>
    </row>
    <row r="8" spans="1:7" x14ac:dyDescent="0.2">
      <c r="A8">
        <f>A7+'Inputs &amp; Outputs'!$B$6</f>
        <v>0.15079644737231007</v>
      </c>
      <c r="B8">
        <f>B7+C8*'Inputs &amp; Outputs'!$B$6</f>
        <v>2.5960014137068086</v>
      </c>
      <c r="C8">
        <f>C7+D7*'Inputs &amp; Outputs'!$B$6</f>
        <v>3.915199883302757</v>
      </c>
      <c r="D8">
        <f>(-'Inputs &amp; Outputs'!$B$4*B8)/'Inputs &amp; Outputs'!$B$5</f>
        <v>-0.64900035342670215</v>
      </c>
      <c r="E8">
        <f>1/2*'Inputs &amp; Outputs'!$B$5*'Iterative Steps'!C8^2</f>
        <v>153.28790126213923</v>
      </c>
      <c r="F8">
        <f>1/2*'Inputs &amp; Outputs'!$B$4*'Iterative Steps'!B8^2</f>
        <v>16.848058349919373</v>
      </c>
      <c r="G8">
        <f t="shared" si="1"/>
        <v>170.1359596120586</v>
      </c>
    </row>
    <row r="9" spans="1:7" x14ac:dyDescent="0.2">
      <c r="A9">
        <f>A8+'Inputs &amp; Outputs'!$B$6</f>
        <v>0.17592918860102841</v>
      </c>
      <c r="B9">
        <f>B8+C9*'Inputs &amp; Outputs'!$B$6</f>
        <v>2.6939911751209178</v>
      </c>
      <c r="C9">
        <f>C8+D8*'Inputs &amp; Outputs'!$B$6</f>
        <v>3.8988887253627369</v>
      </c>
      <c r="D9">
        <f>(-'Inputs &amp; Outputs'!$B$4*B9)/'Inputs &amp; Outputs'!$B$5</f>
        <v>-0.67349779378022945</v>
      </c>
      <c r="E9">
        <f>1/2*'Inputs &amp; Outputs'!$B$5*'Iterative Steps'!C9^2</f>
        <v>152.01333292760668</v>
      </c>
      <c r="F9">
        <f>1/2*'Inputs &amp; Outputs'!$B$4*'Iterative Steps'!B9^2</f>
        <v>18.14397112907346</v>
      </c>
      <c r="G9">
        <f t="shared" si="1"/>
        <v>170.15730405668015</v>
      </c>
    </row>
    <row r="10" spans="1:7" x14ac:dyDescent="0.2">
      <c r="A10">
        <f>A9+'Inputs &amp; Outputs'!$B$6</f>
        <v>0.20106192982974674</v>
      </c>
      <c r="B10">
        <f>B9+C10*'Inputs &amp; Outputs'!$B$6</f>
        <v>2.7915555185004917</v>
      </c>
      <c r="C10">
        <f>C9+D9*'Inputs &amp; Outputs'!$B$6</f>
        <v>3.8819618795935456</v>
      </c>
      <c r="D10">
        <f>(-'Inputs &amp; Outputs'!$B$4*B10)/'Inputs &amp; Outputs'!$B$5</f>
        <v>-0.69788887962512292</v>
      </c>
      <c r="E10">
        <f>1/2*'Inputs &amp; Outputs'!$B$5*'Iterative Steps'!C10^2</f>
        <v>150.69628034617455</v>
      </c>
      <c r="F10">
        <f>1/2*'Inputs &amp; Outputs'!$B$4*'Iterative Steps'!B10^2</f>
        <v>19.481955532176372</v>
      </c>
      <c r="G10">
        <f t="shared" si="1"/>
        <v>170.1782358783509</v>
      </c>
    </row>
    <row r="11" spans="1:7" x14ac:dyDescent="0.2">
      <c r="A11">
        <f>A10+'Inputs &amp; Outputs'!$B$6</f>
        <v>0.22619467105846508</v>
      </c>
      <c r="B11">
        <f>B10+C11*'Inputs &amp; Outputs'!$B$6</f>
        <v>2.8886790371019648</v>
      </c>
      <c r="C11">
        <f>C10+D10*'Inputs &amp; Outputs'!$B$6</f>
        <v>3.8644220189755272</v>
      </c>
      <c r="D11">
        <f>(-'Inputs &amp; Outputs'!$B$4*B11)/'Inputs &amp; Outputs'!$B$5</f>
        <v>-0.72216975927549121</v>
      </c>
      <c r="E11">
        <f>1/2*'Inputs &amp; Outputs'!$B$5*'Iterative Steps'!C11^2</f>
        <v>149.33757540742891</v>
      </c>
      <c r="F11">
        <f>1/2*'Inputs &amp; Outputs'!$B$4*'Iterative Steps'!B11^2</f>
        <v>20.861166448480834</v>
      </c>
      <c r="G11">
        <f t="shared" si="1"/>
        <v>170.19874185590976</v>
      </c>
    </row>
    <row r="12" spans="1:7" x14ac:dyDescent="0.2">
      <c r="A12">
        <f>A11+'Inputs &amp; Outputs'!$B$6</f>
        <v>0.25132741228718342</v>
      </c>
      <c r="B12">
        <f>B11+C12*'Inputs &amp; Outputs'!$B$6</f>
        <v>2.9853463937940314</v>
      </c>
      <c r="C12">
        <f>C11+D11*'Inputs &amp; Outputs'!$B$6</f>
        <v>3.8462719132924503</v>
      </c>
      <c r="D12">
        <f>(-'Inputs &amp; Outputs'!$B$4*B12)/'Inputs &amp; Outputs'!$B$5</f>
        <v>-0.74633659844850786</v>
      </c>
      <c r="E12">
        <f>1/2*'Inputs &amp; Outputs'!$B$5*'Iterative Steps'!C12^2</f>
        <v>147.93807630982366</v>
      </c>
      <c r="F12">
        <f>1/2*'Inputs &amp; Outputs'!$B$4*'Iterative Steps'!B12^2</f>
        <v>22.280732727347573</v>
      </c>
      <c r="G12">
        <f t="shared" si="1"/>
        <v>170.21880903717124</v>
      </c>
    </row>
    <row r="13" spans="1:7" x14ac:dyDescent="0.2">
      <c r="A13">
        <f>A12+'Inputs &amp; Outputs'!$B$6</f>
        <v>0.27646015351590175</v>
      </c>
      <c r="B13">
        <f>B12+C13*'Inputs &amp; Outputs'!$B$6</f>
        <v>3.0815423234795865</v>
      </c>
      <c r="C13">
        <f>C12+D12*'Inputs &amp; Outputs'!$B$6</f>
        <v>3.8275144286941223</v>
      </c>
      <c r="D13">
        <f>(-'Inputs &amp; Outputs'!$B$4*B13)/'Inputs &amp; Outputs'!$B$5</f>
        <v>-0.77038558086989661</v>
      </c>
      <c r="E13">
        <f>1/2*'Inputs &amp; Outputs'!$B$5*'Iterative Steps'!C13^2</f>
        <v>146.49866701861694</v>
      </c>
      <c r="F13">
        <f>1/2*'Inputs &amp; Outputs'!$B$4*'Iterative Steps'!B13^2</f>
        <v>23.73975772848992</v>
      </c>
      <c r="G13">
        <f t="shared" si="1"/>
        <v>170.23842474710688</v>
      </c>
    </row>
    <row r="14" spans="1:7" x14ac:dyDescent="0.2">
      <c r="A14">
        <f>A13+'Inputs &amp; Outputs'!$B$6</f>
        <v>0.30159289474462009</v>
      </c>
      <c r="B14">
        <f>B13+C14*'Inputs &amp; Outputs'!$B$6</f>
        <v>3.1772516355062943</v>
      </c>
      <c r="C14">
        <f>C13+D13*'Inputs &amp; Outputs'!$B$6</f>
        <v>3.8081525272437835</v>
      </c>
      <c r="D14">
        <f>(-'Inputs &amp; Outputs'!$B$4*B14)/'Inputs &amp; Outputs'!$B$5</f>
        <v>-0.79431290887657358</v>
      </c>
      <c r="E14">
        <f>1/2*'Inputs &amp; Outputs'!$B$5*'Iterative Steps'!C14^2</f>
        <v>145.02025670753216</v>
      </c>
      <c r="F14">
        <f>1/2*'Inputs &amp; Outputs'!$B$4*'Iterative Steps'!B14^2</f>
        <v>25.237319888318556</v>
      </c>
      <c r="G14">
        <f t="shared" si="1"/>
        <v>170.25757659585071</v>
      </c>
    </row>
    <row r="15" spans="1:7" x14ac:dyDescent="0.2">
      <c r="A15">
        <f>A14+'Inputs &amp; Outputs'!$B$6</f>
        <v>0.32672563597333842</v>
      </c>
      <c r="B15">
        <f>B14+C15*'Inputs &amp; Outputs'!$B$6</f>
        <v>3.2724592160653994</v>
      </c>
      <c r="C15">
        <f>C14+D14*'Inputs &amp; Outputs'!$B$6</f>
        <v>3.7881892664503583</v>
      </c>
      <c r="D15">
        <f>(-'Inputs &amp; Outputs'!$B$4*B15)/'Inputs &amp; Outputs'!$B$5</f>
        <v>-0.81811480401634973</v>
      </c>
      <c r="E15">
        <f>1/2*'Inputs &amp; Outputs'!$B$5*'Iterative Steps'!C15^2</f>
        <v>143.50377918449703</v>
      </c>
      <c r="F15">
        <f>1/2*'Inputs &amp; Outputs'!$B$4*'Iterative Steps'!B15^2</f>
        <v>26.77247330202842</v>
      </c>
      <c r="G15">
        <f t="shared" si="1"/>
        <v>170.27625248652546</v>
      </c>
    </row>
    <row r="16" spans="1:7" x14ac:dyDescent="0.2">
      <c r="A16">
        <f>A15+'Inputs &amp; Outputs'!$B$6</f>
        <v>0.35185837720205676</v>
      </c>
      <c r="B16">
        <f>B15+C16*'Inputs &amp; Outputs'!$B$6</f>
        <v>3.3671500305784043</v>
      </c>
      <c r="C16">
        <f>C15+D15*'Inputs &amp; Outputs'!$B$6</f>
        <v>3.7676277987856319</v>
      </c>
      <c r="D16">
        <f>(-'Inputs &amp; Outputs'!$B$4*B16)/'Inputs &amp; Outputs'!$B$5</f>
        <v>-0.84178750764460109</v>
      </c>
      <c r="E16">
        <f>1/2*'Inputs &amp; Outputs'!$B$5*'Iterative Steps'!C16^2</f>
        <v>141.95019230182265</v>
      </c>
      <c r="F16">
        <f>1/2*'Inputs &amp; Outputs'!$B$4*'Iterative Steps'!B16^2</f>
        <v>28.344248321060373</v>
      </c>
      <c r="G16">
        <f t="shared" si="1"/>
        <v>170.29444062288303</v>
      </c>
    </row>
    <row r="17" spans="1:7" x14ac:dyDescent="0.2">
      <c r="A17">
        <f>A16+'Inputs &amp; Outputs'!$B$6</f>
        <v>0.3769911184307751</v>
      </c>
      <c r="B17">
        <f>B16+C17*'Inputs &amp; Outputs'!$B$6</f>
        <v>3.4613091260712348</v>
      </c>
      <c r="C17">
        <f>C16+D16*'Inputs &amp; Outputs'!$B$6</f>
        <v>3.7464713711864324</v>
      </c>
      <c r="D17">
        <f>(-'Inputs &amp; Outputs'!$B$4*B17)/'Inputs &amp; Outputs'!$B$5</f>
        <v>-0.86532728151780858</v>
      </c>
      <c r="E17">
        <f>1/2*'Inputs &amp; Outputs'!$B$5*'Iterative Steps'!C17^2</f>
        <v>140.36047735119547</v>
      </c>
      <c r="F17">
        <f>1/2*'Inputs &amp; Outputs'!$B$4*'Iterative Steps'!B17^2</f>
        <v>29.951652165560038</v>
      </c>
      <c r="G17">
        <f t="shared" si="1"/>
        <v>170.3121295167555</v>
      </c>
    </row>
    <row r="18" spans="1:7" x14ac:dyDescent="0.2">
      <c r="A18">
        <f>A17+'Inputs &amp; Outputs'!$B$6</f>
        <v>0.40212385965949343</v>
      </c>
      <c r="B18">
        <f>B17+C18*'Inputs &amp; Outputs'!$B$6</f>
        <v>3.5549216335355176</v>
      </c>
      <c r="C18">
        <f>C17+D17*'Inputs &amp; Outputs'!$B$6</f>
        <v>3.7247233245418951</v>
      </c>
      <c r="D18">
        <f>(-'Inputs &amp; Outputs'!$B$4*B18)/'Inputs &amp; Outputs'!$B$5</f>
        <v>-0.8887304083838794</v>
      </c>
      <c r="E18">
        <f>1/2*'Inputs &amp; Outputs'!$B$5*'Iterative Steps'!C18^2</f>
        <v>138.73563844386427</v>
      </c>
      <c r="F18">
        <f>1/2*'Inputs &amp; Outputs'!$B$4*'Iterative Steps'!B18^2</f>
        <v>31.593669551447082</v>
      </c>
      <c r="G18">
        <f t="shared" si="1"/>
        <v>170.32930799531135</v>
      </c>
    </row>
    <row r="19" spans="1:7" x14ac:dyDescent="0.2">
      <c r="A19">
        <f>A18+'Inputs &amp; Outputs'!$B$6</f>
        <v>0.42725660088821177</v>
      </c>
      <c r="B19">
        <f>B18+C19*'Inputs &amp; Outputs'!$B$6</f>
        <v>3.6479727702766027</v>
      </c>
      <c r="C19">
        <f>C18+D18*'Inputs &amp; Outputs'!$B$6</f>
        <v>3.70238709316589</v>
      </c>
      <c r="D19">
        <f>(-'Inputs &amp; Outputs'!$B$4*B19)/'Inputs &amp; Outputs'!$B$5</f>
        <v>-0.91199319256915068</v>
      </c>
      <c r="E19">
        <f>1/2*'Inputs &amp; Outputs'!$B$5*'Iterative Steps'!C19^2</f>
        <v>137.07670187641369</v>
      </c>
      <c r="F19">
        <f>1/2*'Inputs &amp; Outputs'!$B$4*'Iterative Steps'!B19^2</f>
        <v>33.26926333169888</v>
      </c>
      <c r="G19">
        <f t="shared" si="1"/>
        <v>170.34596520811257</v>
      </c>
    </row>
    <row r="20" spans="1:7" x14ac:dyDescent="0.2">
      <c r="A20">
        <f>A19+'Inputs &amp; Outputs'!$B$6</f>
        <v>0.4523893421169301</v>
      </c>
      <c r="B20">
        <f>B19+C20*'Inputs &amp; Outputs'!$B$6</f>
        <v>3.7404478422479506</v>
      </c>
      <c r="C20">
        <f>C19+D19*'Inputs &amp; Outputs'!$B$6</f>
        <v>3.6794662042546968</v>
      </c>
      <c r="D20">
        <f>(-'Inputs &amp; Outputs'!$B$4*B20)/'Inputs &amp; Outputs'!$B$5</f>
        <v>-0.93511196056198764</v>
      </c>
      <c r="E20">
        <f>1/2*'Inputs &amp; Outputs'!$B$5*'Iterative Steps'!C20^2</f>
        <v>135.38471548252465</v>
      </c>
      <c r="F20">
        <f>1/2*'Inputs &amp; Outputs'!$B$4*'Iterative Steps'!B20^2</f>
        <v>34.977375151443376</v>
      </c>
      <c r="G20">
        <f t="shared" si="1"/>
        <v>170.36209063396802</v>
      </c>
    </row>
    <row r="21" spans="1:7" x14ac:dyDescent="0.2">
      <c r="A21">
        <f>A20+'Inputs &amp; Outputs'!$B$6</f>
        <v>0.47752208334564844</v>
      </c>
      <c r="B21">
        <f>B20+C21*'Inputs &amp; Outputs'!$B$6</f>
        <v>3.8323322463715241</v>
      </c>
      <c r="C21">
        <f>C20+D20*'Inputs &amp; Outputs'!$B$6</f>
        <v>3.6559642773300127</v>
      </c>
      <c r="D21">
        <f>(-'Inputs &amp; Outputs'!$B$4*B21)/'Inputs &amp; Outputs'!$B$5</f>
        <v>-0.95808306159288104</v>
      </c>
      <c r="E21">
        <f>1/2*'Inputs &amp; Outputs'!$B$5*'Iterative Steps'!C21^2</f>
        <v>133.66074797113163</v>
      </c>
      <c r="F21">
        <f>1/2*'Inputs &amp; Outputs'!$B$4*'Iterative Steps'!B21^2</f>
        <v>36.716926116447532</v>
      </c>
      <c r="G21">
        <f t="shared" si="1"/>
        <v>170.37767408757915</v>
      </c>
    </row>
    <row r="22" spans="1:7" x14ac:dyDescent="0.2">
      <c r="A22">
        <f>A21+'Inputs &amp; Outputs'!$B$6</f>
        <v>0.50265482457436683</v>
      </c>
      <c r="B22">
        <f>B21+C22*'Inputs &amp; Outputs'!$B$6</f>
        <v>3.9236114728438141</v>
      </c>
      <c r="C22">
        <f>C21+D21*'Inputs &amp; Outputs'!$B$6</f>
        <v>3.6318850236673805</v>
      </c>
      <c r="D22">
        <f>(-'Inputs &amp; Outputs'!$B$4*B22)/'Inputs &amp; Outputs'!$B$5</f>
        <v>-0.98090286821095352</v>
      </c>
      <c r="E22">
        <f>1/2*'Inputs &amp; Outputs'!$B$5*'Iterative Steps'!C22^2</f>
        <v>131.90588825139409</v>
      </c>
      <c r="F22">
        <f>1/2*'Inputs &amp; Outputs'!$B$4*'Iterative Steps'!B22^2</f>
        <v>38.486817474579013</v>
      </c>
      <c r="G22">
        <f t="shared" si="1"/>
        <v>170.39270572597309</v>
      </c>
    </row>
    <row r="23" spans="1:7" x14ac:dyDescent="0.2">
      <c r="A23">
        <f>A22+'Inputs &amp; Outputs'!$B$6</f>
        <v>0.52778756580308517</v>
      </c>
      <c r="B23">
        <f>B22+C23*'Inputs &amp; Outputs'!$B$6</f>
        <v>4.0142711074271356</v>
      </c>
      <c r="C23">
        <f>C22+D22*'Inputs &amp; Outputs'!$B$6</f>
        <v>3.6072322457101271</v>
      </c>
      <c r="D23">
        <f>(-'Inputs &amp; Outputs'!$B$4*B23)/'Inputs &amp; Outputs'!$B$5</f>
        <v>-1.0035677768567839</v>
      </c>
      <c r="E23">
        <f>1/2*'Inputs &amp; Outputs'!$B$5*'Iterative Steps'!C23^2</f>
        <v>130.12124474490926</v>
      </c>
      <c r="F23">
        <f>1/2*'Inputs &amp; Outputs'!$B$4*'Iterative Steps'!B23^2</f>
        <v>40.285931309810707</v>
      </c>
      <c r="G23">
        <f t="shared" si="1"/>
        <v>170.40717605471997</v>
      </c>
    </row>
    <row r="24" spans="1:7" x14ac:dyDescent="0.2">
      <c r="A24">
        <f>A23+'Inputs &amp; Outputs'!$B$6</f>
        <v>0.5529203070318035</v>
      </c>
      <c r="B24">
        <f>B23+C24*'Inputs &amp; Outputs'!$B$6</f>
        <v>4.1042968337258321</v>
      </c>
      <c r="C24">
        <f>C23+D23*'Inputs &amp; Outputs'!$B$6</f>
        <v>3.5820098364689055</v>
      </c>
      <c r="D24">
        <f>(-'Inputs &amp; Outputs'!$B$4*B24)/'Inputs &amp; Outputs'!$B$5</f>
        <v>-1.026074208431458</v>
      </c>
      <c r="E24">
        <f>1/2*'Inputs &amp; Outputs'!$B$5*'Iterative Steps'!C24^2</f>
        <v>128.30794468559995</v>
      </c>
      <c r="F24">
        <f>1/2*'Inputs &amp; Outputs'!$B$4*'Iterative Steps'!B24^2</f>
        <v>42.113131248329729</v>
      </c>
      <c r="G24">
        <f t="shared" si="1"/>
        <v>170.42107593392967</v>
      </c>
    </row>
    <row r="25" spans="1:7" x14ac:dyDescent="0.2">
      <c r="A25">
        <f>A24+'Inputs &amp; Outputs'!$B$6</f>
        <v>0.57805304826052184</v>
      </c>
      <c r="B25">
        <f>B24+C25*'Inputs &amp; Outputs'!$B$6</f>
        <v>4.1936744354470328</v>
      </c>
      <c r="C25">
        <f>C24+D24*'Inputs &amp; Outputs'!$B$6</f>
        <v>3.5562217789069357</v>
      </c>
      <c r="D25">
        <f>(-'Inputs &amp; Outputs'!$B$4*B25)/'Inputs &amp; Outputs'!$B$5</f>
        <v>-1.0484186088617582</v>
      </c>
      <c r="E25">
        <f>1/2*'Inputs &amp; Outputs'!$B$5*'Iterative Steps'!C25^2</f>
        <v>126.4671334077201</v>
      </c>
      <c r="F25">
        <f>1/2*'Inputs &amp; Outputs'!$B$4*'Iterative Steps'!B25^2</f>
        <v>43.967263176304968</v>
      </c>
      <c r="G25">
        <f t="shared" si="1"/>
        <v>170.43439658402508</v>
      </c>
    </row>
    <row r="26" spans="1:7" x14ac:dyDescent="0.2">
      <c r="A26">
        <f>A25+'Inputs &amp; Outputs'!$B$6</f>
        <v>0.60318578948924018</v>
      </c>
      <c r="B26">
        <f>B25+C26*'Inputs &amp; Outputs'!$B$6</f>
        <v>4.2823897986455961</v>
      </c>
      <c r="C26">
        <f>C25+D25*'Inputs &amp; Outputs'!$B$6</f>
        <v>3.5298721453110402</v>
      </c>
      <c r="D26">
        <f>(-'Inputs &amp; Outputs'!$B$4*B26)/'Inputs &amp; Outputs'!$B$5</f>
        <v>-1.070597449661399</v>
      </c>
      <c r="E26">
        <f>1/2*'Inputs &amp; Outputs'!$B$5*'Iterative Steps'!C26^2</f>
        <v>124.59997362242765</v>
      </c>
      <c r="F26">
        <f>1/2*'Inputs &amp; Outputs'!$B$4*'Iterative Steps'!B26^2</f>
        <v>45.847155968859674</v>
      </c>
      <c r="G26">
        <f t="shared" si="1"/>
        <v>170.44712959128734</v>
      </c>
    </row>
    <row r="27" spans="1:7" x14ac:dyDescent="0.2">
      <c r="A27">
        <f>A26+'Inputs &amp; Outputs'!$B$6</f>
        <v>0.62831853071795851</v>
      </c>
      <c r="B27">
        <f>B26+C27*'Inputs &amp; Outputs'!$B$6</f>
        <v>4.3704289139528969</v>
      </c>
      <c r="C27">
        <f>C26+D26*'Inputs &amp; Outputs'!$B$6</f>
        <v>3.5029650966485746</v>
      </c>
      <c r="D27">
        <f>(-'Inputs &amp; Outputs'!$B$4*B27)/'Inputs &amp; Outputs'!$B$5</f>
        <v>-1.0926072284882242</v>
      </c>
      <c r="E27">
        <f>1/2*'Inputs &amp; Outputs'!$B$5*'Iterative Steps'!C27^2</f>
        <v>122.70764468338157</v>
      </c>
      <c r="F27">
        <f>1/2*'Inputs &amp; Outputs'!$B$4*'Iterative Steps'!B27^2</f>
        <v>47.751622229788744</v>
      </c>
      <c r="G27">
        <f t="shared" si="1"/>
        <v>170.45926691317032</v>
      </c>
    </row>
    <row r="28" spans="1:7" x14ac:dyDescent="0.2">
      <c r="A28">
        <f>A27+'Inputs &amp; Outputs'!$B$6</f>
        <v>0.65345127194667685</v>
      </c>
      <c r="B28">
        <f>B27+C28*'Inputs &amp; Outputs'!$B$6</f>
        <v>4.4577778787890967</v>
      </c>
      <c r="C28">
        <f>C27+D27*'Inputs &amp; Outputs'!$B$6</f>
        <v>3.4755048819103531</v>
      </c>
      <c r="D28">
        <f>(-'Inputs &amp; Outputs'!$B$4*B28)/'Inputs &amp; Outputs'!$B$5</f>
        <v>-1.1144444696972742</v>
      </c>
      <c r="E28">
        <f>1/2*'Inputs &amp; Outputs'!$B$5*'Iterative Steps'!C28^2</f>
        <v>120.79134184182698</v>
      </c>
      <c r="F28">
        <f>1/2*'Inputs &amp; Outputs'!$B$4*'Iterative Steps'!B28^2</f>
        <v>49.679459041553542</v>
      </c>
      <c r="G28">
        <f t="shared" si="1"/>
        <v>170.47080088338052</v>
      </c>
    </row>
    <row r="29" spans="1:7" x14ac:dyDescent="0.2">
      <c r="A29">
        <f>A28+'Inputs &amp; Outputs'!$B$6</f>
        <v>0.67858401317539518</v>
      </c>
      <c r="B29">
        <f>B28+C29*'Inputs &amp; Outputs'!$B$6</f>
        <v>4.5444228995585521</v>
      </c>
      <c r="C29">
        <f>C28+D28*'Inputs &amp; Outputs'!$B$6</f>
        <v>3.4474958374396754</v>
      </c>
      <c r="D29">
        <f>(-'Inputs &amp; Outputs'!$B$4*B29)/'Inputs &amp; Outputs'!$B$5</f>
        <v>-1.136105724889638</v>
      </c>
      <c r="E29">
        <f>1/2*'Inputs &amp; Outputs'!$B$5*'Iterative Steps'!C29^2</f>
        <v>118.85227549163888</v>
      </c>
      <c r="F29">
        <f>1/2*'Inputs &amp; Outputs'!$B$4*'Iterative Steps'!B29^2</f>
        <v>51.629448725080394</v>
      </c>
      <c r="G29">
        <f t="shared" si="1"/>
        <v>170.48172421671927</v>
      </c>
    </row>
    <row r="30" spans="1:7" x14ac:dyDescent="0.2">
      <c r="A30">
        <f>A29+'Inputs &amp; Outputs'!$B$6</f>
        <v>0.70371675440411352</v>
      </c>
      <c r="B30">
        <f>B29+C30*'Inputs &amp; Outputs'!$B$6</f>
        <v>4.630350293828009</v>
      </c>
      <c r="C30">
        <f>C29+D29*'Inputs &amp; Outputs'!$B$6</f>
        <v>3.4189423862475588</v>
      </c>
      <c r="D30">
        <f>(-'Inputs &amp; Outputs'!$B$4*B30)/'Inputs &amp; Outputs'!$B$5</f>
        <v>-1.1575875734570023</v>
      </c>
      <c r="E30">
        <f>1/2*'Inputs &amp; Outputs'!$B$5*'Iterative Steps'!C30^2</f>
        <v>116.89167040480152</v>
      </c>
      <c r="F30">
        <f>1/2*'Inputs &amp; Outputs'!$B$4*'Iterative Steps'!B30^2</f>
        <v>53.600359608882826</v>
      </c>
      <c r="G30">
        <f t="shared" si="1"/>
        <v>170.49203001368434</v>
      </c>
    </row>
    <row r="31" spans="1:7" x14ac:dyDescent="0.2">
      <c r="A31">
        <f>A30+'Inputs &amp; Outputs'!$B$6</f>
        <v>0.72884949563283186</v>
      </c>
      <c r="B31">
        <f>B30+C31*'Inputs &amp; Outputs'!$B$6</f>
        <v>4.715546492487249</v>
      </c>
      <c r="C31">
        <f>C30+D30*'Inputs &amp; Outputs'!$B$6</f>
        <v>3.389849037314284</v>
      </c>
      <c r="D31">
        <f>(-'Inputs &amp; Outputs'!$B$4*B31)/'Inputs &amp; Outputs'!$B$5</f>
        <v>-1.1788866231218122</v>
      </c>
      <c r="E31">
        <f>1/2*'Inputs &amp; Outputs'!$B$5*'Iterative Steps'!C31^2</f>
        <v>114.91076495780577</v>
      </c>
      <c r="F31">
        <f>1/2*'Inputs &amp; Outputs'!$B$4*'Iterative Steps'!B31^2</f>
        <v>55.590946807021993</v>
      </c>
      <c r="G31">
        <f t="shared" si="1"/>
        <v>170.50171176482775</v>
      </c>
    </row>
    <row r="32" spans="1:7" x14ac:dyDescent="0.2">
      <c r="A32">
        <f>A31+'Inputs &amp; Outputs'!$B$6</f>
        <v>0.75398223686155019</v>
      </c>
      <c r="B32">
        <f>B31+C32*'Inputs &amp; Outputs'!$B$6</f>
        <v>4.7999980418918362</v>
      </c>
      <c r="C32">
        <f>C31+D31*'Inputs &amp; Outputs'!$B$6</f>
        <v>3.360220384877366</v>
      </c>
      <c r="D32">
        <f>(-'Inputs &amp; Outputs'!$B$4*B32)/'Inputs &amp; Outputs'!$B$5</f>
        <v>-1.1999995104729591</v>
      </c>
      <c r="E32">
        <f>1/2*'Inputs &amp; Outputs'!$B$5*'Iterative Steps'!C32^2</f>
        <v>112.91081034945394</v>
      </c>
      <c r="F32">
        <f>1/2*'Inputs &amp; Outputs'!$B$4*'Iterative Steps'!B32^2</f>
        <v>57.599953005413653</v>
      </c>
      <c r="G32">
        <f t="shared" si="1"/>
        <v>170.51076335486761</v>
      </c>
    </row>
    <row r="33" spans="1:7" x14ac:dyDescent="0.2">
      <c r="A33">
        <f>A32+'Inputs &amp; Outputs'!$B$6</f>
        <v>0.77911497809026853</v>
      </c>
      <c r="B33">
        <f>B32+C33*'Inputs &amp; Outputs'!$B$6</f>
        <v>4.8836916059876314</v>
      </c>
      <c r="C33">
        <f>C32+D32*'Inputs &amp; Outputs'!$B$6</f>
        <v>3.3300611077060602</v>
      </c>
      <c r="D33">
        <f>(-'Inputs &amp; Outputs'!$B$4*B33)/'Inputs &amp; Outputs'!$B$5</f>
        <v>-1.2209229014969079</v>
      </c>
      <c r="E33">
        <f>1/2*'Inputs &amp; Outputs'!$B$5*'Iterative Steps'!C33^2</f>
        <v>110.89306981056512</v>
      </c>
      <c r="F33">
        <f>1/2*'Inputs &amp; Outputs'!$B$4*'Iterative Steps'!B33^2</f>
        <v>59.626109255985121</v>
      </c>
      <c r="G33">
        <f t="shared" si="1"/>
        <v>170.51917906655024</v>
      </c>
    </row>
    <row r="34" spans="1:7" x14ac:dyDescent="0.2">
      <c r="A34">
        <f>A33+'Inputs &amp; Outputs'!$B$6</f>
        <v>0.80424771931898686</v>
      </c>
      <c r="B34">
        <f>B33+C34*'Inputs &amp; Outputs'!$B$6</f>
        <v>4.9666139684167385</v>
      </c>
      <c r="C34">
        <f>C33+D33*'Inputs &amp; Outputs'!$B$6</f>
        <v>3.2993759683625226</v>
      </c>
      <c r="D34">
        <f>(-'Inputs &amp; Outputs'!$B$4*B34)/'Inputs &amp; Outputs'!$B$5</f>
        <v>-1.2416534921041846</v>
      </c>
      <c r="E34">
        <f>1/2*'Inputs &amp; Outputs'!$B$5*'Iterative Steps'!C34^2</f>
        <v>108.85881780608133</v>
      </c>
      <c r="F34">
        <f>1/2*'Inputs &amp; Outputs'!$B$4*'Iterative Steps'!B34^2</f>
        <v>61.668135778180655</v>
      </c>
      <c r="G34">
        <f t="shared" si="1"/>
        <v>170.526953584262</v>
      </c>
    </row>
    <row r="35" spans="1:7" x14ac:dyDescent="0.2">
      <c r="A35">
        <f>A34+'Inputs &amp; Outputs'!$B$6</f>
        <v>0.8293804605477052</v>
      </c>
      <c r="B35">
        <f>B34+C35*'Inputs &amp; Outputs'!$B$6</f>
        <v>5.0487520346045462</v>
      </c>
      <c r="C35">
        <f>C34+D34*'Inputs &amp; Outputs'!$B$6</f>
        <v>3.2681698124497336</v>
      </c>
      <c r="D35">
        <f>(-'Inputs &amp; Outputs'!$B$4*B35)/'Inputs &amp; Outputs'!$B$5</f>
        <v>-1.2621880086511366</v>
      </c>
      <c r="E35">
        <f>1/2*'Inputs &amp; Outputs'!$B$5*'Iterative Steps'!C35^2</f>
        <v>106.80933923007727</v>
      </c>
      <c r="F35">
        <f>1/2*'Inputs &amp; Outputs'!$B$4*'Iterative Steps'!B35^2</f>
        <v>63.724742767308868</v>
      </c>
      <c r="G35">
        <f t="shared" si="1"/>
        <v>170.53408199738612</v>
      </c>
    </row>
    <row r="36" spans="1:7" x14ac:dyDescent="0.2">
      <c r="A36">
        <f>A35+'Inputs &amp; Outputs'!$B$6</f>
        <v>0.85451320177642354</v>
      </c>
      <c r="B36">
        <f>B35+C36*'Inputs &amp; Outputs'!$B$6</f>
        <v>5.1300928338275424</v>
      </c>
      <c r="C36">
        <f>C35+D35*'Inputs &amp; Outputs'!$B$6</f>
        <v>3.2364475678463132</v>
      </c>
      <c r="D36">
        <f>(-'Inputs &amp; Outputs'!$B$4*B36)/'Inputs &amp; Outputs'!$B$5</f>
        <v>-1.2825232084568856</v>
      </c>
      <c r="E36">
        <f>1/2*'Inputs &amp; Outputs'!$B$5*'Iterative Steps'!C36^2</f>
        <v>104.74592859418316</v>
      </c>
      <c r="F36">
        <f>1/2*'Inputs &amp; Outputs'!$B$4*'Iterative Steps'!B36^2</f>
        <v>65.794631209221762</v>
      </c>
      <c r="G36">
        <f t="shared" si="1"/>
        <v>170.5405598034049</v>
      </c>
    </row>
    <row r="37" spans="1:7" x14ac:dyDescent="0.2">
      <c r="A37">
        <f>A36+'Inputs &amp; Outputs'!$B$6</f>
        <v>0.87964594300514187</v>
      </c>
      <c r="B37">
        <f>B36+C37*'Inputs &amp; Outputs'!$B$6</f>
        <v>5.2106235212615672</v>
      </c>
      <c r="C37">
        <f>C36+D36*'Inputs &amp; Outputs'!$B$6</f>
        <v>3.2042142439283405</v>
      </c>
      <c r="D37">
        <f>(-'Inputs &amp; Outputs'!$B$4*B37)/'Inputs &amp; Outputs'!$B$5</f>
        <v>-1.3026558803153918</v>
      </c>
      <c r="E37">
        <f>1/2*'Inputs &amp; Outputs'!$B$5*'Iterative Steps'!C37^2</f>
        <v>102.66988920993268</v>
      </c>
      <c r="F37">
        <f>1/2*'Inputs &amp; Outputs'!$B$4*'Iterative Steps'!B37^2</f>
        <v>67.876493700810727</v>
      </c>
      <c r="G37">
        <f t="shared" si="1"/>
        <v>170.5463829107434</v>
      </c>
    </row>
    <row r="38" spans="1:7" x14ac:dyDescent="0.2">
      <c r="A38">
        <f>A37+'Inputs &amp; Outputs'!$B$6</f>
        <v>0.90477868423386021</v>
      </c>
      <c r="B38">
        <f>B37+C38*'Inputs &amp; Outputs'!$B$6</f>
        <v>5.2903313800101861</v>
      </c>
      <c r="C38">
        <f>C37+D37*'Inputs &amp; Outputs'!$B$6</f>
        <v>3.1714749307783054</v>
      </c>
      <c r="D38">
        <f>(-'Inputs &amp; Outputs'!$B$4*B38)/'Inputs &amp; Outputs'!$B$5</f>
        <v>-1.3225828450025465</v>
      </c>
      <c r="E38">
        <f>1/2*'Inputs &amp; Outputs'!$B$5*'Iterative Steps'!C38^2</f>
        <v>100.58253236555258</v>
      </c>
      <c r="F38">
        <f>1/2*'Inputs &amp; Outputs'!$B$4*'Iterative Steps'!B38^2</f>
        <v>69.969015275801198</v>
      </c>
      <c r="G38">
        <f t="shared" si="1"/>
        <v>170.55154764135378</v>
      </c>
    </row>
    <row r="39" spans="1:7" x14ac:dyDescent="0.2">
      <c r="A39">
        <f>A38+'Inputs &amp; Outputs'!$B$6</f>
        <v>0.92991142546257854</v>
      </c>
      <c r="B39">
        <f>B38+C39*'Inputs &amp; Outputs'!$B$6</f>
        <v>5.3692038231128629</v>
      </c>
      <c r="C39">
        <f>C38+D38*'Inputs &amp; Outputs'!$B$6</f>
        <v>3.1382347983813141</v>
      </c>
      <c r="D39">
        <f>(-'Inputs &amp; Outputs'!$B$4*B39)/'Inputs &amp; Outputs'!$B$5</f>
        <v>-1.3423009557782157</v>
      </c>
      <c r="E39">
        <f>1/2*'Inputs &amp; Outputs'!$B$5*'Iterative Steps'!C39^2</f>
        <v>98.485176497714079</v>
      </c>
      <c r="F39">
        <f>1/2*'Inputs &amp; Outputs'!$B$4*'Iterative Steps'!B39^2</f>
        <v>72.070874235324453</v>
      </c>
      <c r="G39">
        <f t="shared" si="1"/>
        <v>170.55605073303855</v>
      </c>
    </row>
    <row r="40" spans="1:7" x14ac:dyDescent="0.2">
      <c r="A40">
        <f>A39+'Inputs &amp; Outputs'!$B$6</f>
        <v>0.95504416669129688</v>
      </c>
      <c r="B40">
        <f>B39+C40*'Inputs &amp; Outputs'!$B$6</f>
        <v>5.4472283955326128</v>
      </c>
      <c r="C40">
        <f>C39+D39*'Inputs &amp; Outputs'!$B$6</f>
        <v>3.1044990958086789</v>
      </c>
      <c r="D40">
        <f>(-'Inputs &amp; Outputs'!$B$4*B40)/'Inputs &amp; Outputs'!$B$5</f>
        <v>-1.3618070988831532</v>
      </c>
      <c r="E40">
        <f>1/2*'Inputs &amp; Outputs'!$B$5*'Iterative Steps'!C40^2</f>
        <v>96.379146358769049</v>
      </c>
      <c r="F40">
        <f>1/2*'Inputs &amp; Outputs'!$B$4*'Iterative Steps'!B40^2</f>
        <v>74.180742982742004</v>
      </c>
      <c r="G40">
        <f t="shared" si="1"/>
        <v>170.55988934151105</v>
      </c>
    </row>
    <row r="41" spans="1:7" x14ac:dyDescent="0.2">
      <c r="A41">
        <f>A40+'Inputs &amp; Outputs'!$B$6</f>
        <v>0.98017690792001522</v>
      </c>
      <c r="B41">
        <f>B40+C41*'Inputs &amp; Outputs'!$B$6</f>
        <v>5.5243927761228218</v>
      </c>
      <c r="C41">
        <f>C40+D40*'Inputs &amp; Outputs'!$B$6</f>
        <v>3.070273150389017</v>
      </c>
      <c r="D41">
        <f>(-'Inputs &amp; Outputs'!$B$4*B41)/'Inputs &amp; Outputs'!$B$5</f>
        <v>-1.3810981940307054</v>
      </c>
      <c r="E41">
        <f>1/2*'Inputs &amp; Outputs'!$B$5*'Iterative Steps'!C41^2</f>
        <v>94.265772179997001</v>
      </c>
      <c r="F41">
        <f>1/2*'Inputs &amp; Outputs'!$B$4*'Iterative Steps'!B41^2</f>
        <v>76.297288862195046</v>
      </c>
      <c r="G41">
        <f t="shared" si="1"/>
        <v>170.56306104219203</v>
      </c>
    </row>
    <row r="42" spans="1:7" x14ac:dyDescent="0.2">
      <c r="A42">
        <f>A41+'Inputs &amp; Outputs'!$B$6</f>
        <v>1.0053096491487337</v>
      </c>
      <c r="B42">
        <f>B41+C42*'Inputs &amp; Outputs'!$B$6</f>
        <v>5.6006847795729255</v>
      </c>
      <c r="C42">
        <f>C41+D41*'Inputs &amp; Outputs'!$B$6</f>
        <v>3.0355623668669929</v>
      </c>
      <c r="D42">
        <f>(-'Inputs &amp; Outputs'!$B$4*B42)/'Inputs &amp; Outputs'!$B$5</f>
        <v>-1.4001711948932314</v>
      </c>
      <c r="E42">
        <f>1/2*'Inputs &amp; Outputs'!$B$5*'Iterative Steps'!C42^2</f>
        <v>92.146388831391391</v>
      </c>
      <c r="F42">
        <f>1/2*'Inputs &amp; Outputs'!$B$4*'Iterative Steps'!B42^2</f>
        <v>78.419175000349568</v>
      </c>
      <c r="G42">
        <f t="shared" si="1"/>
        <v>170.56556383174097</v>
      </c>
    </row>
    <row r="43" spans="1:7" x14ac:dyDescent="0.2">
      <c r="A43">
        <f>A42+'Inputs &amp; Outputs'!$B$6</f>
        <v>1.030442390377452</v>
      </c>
      <c r="B43">
        <f>B42+C43*'Inputs &amp; Outputs'!$B$6</f>
        <v>5.6760923583326361</v>
      </c>
      <c r="C43">
        <f>C42+D42*'Inputs &amp; Outputs'!$B$6</f>
        <v>3.0003722265498358</v>
      </c>
      <c r="D43">
        <f>(-'Inputs &amp; Outputs'!$B$4*B43)/'Inputs &amp; Outputs'!$B$5</f>
        <v>-1.419023089583159</v>
      </c>
      <c r="E43">
        <f>1/2*'Inputs &amp; Outputs'!$B$5*'Iterative Steps'!C43^2</f>
        <v>90.022334978516199</v>
      </c>
      <c r="F43">
        <f>1/2*'Inputs &amp; Outputs'!$B$4*'Iterative Steps'!B43^2</f>
        <v>80.545061150805367</v>
      </c>
      <c r="G43">
        <f t="shared" si="1"/>
        <v>170.56739612932157</v>
      </c>
    </row>
    <row r="44" spans="1:7" x14ac:dyDescent="0.2">
      <c r="A44">
        <f>A43+'Inputs &amp; Outputs'!$B$6</f>
        <v>1.0555751316061703</v>
      </c>
      <c r="B44">
        <f>B43+C44*'Inputs &amp; Outputs'!$B$6</f>
        <v>5.7506036045144144</v>
      </c>
      <c r="C44">
        <f>C43+D43*'Inputs &amp; Outputs'!$B$6</f>
        <v>2.9647082864417658</v>
      </c>
      <c r="D44">
        <f>(-'Inputs &amp; Outputs'!$B$4*B44)/'Inputs &amp; Outputs'!$B$5</f>
        <v>-1.4376509011286036</v>
      </c>
      <c r="E44">
        <f>1/2*'Inputs &amp; Outputs'!$B$5*'Iterative Steps'!C44^2</f>
        <v>87.894952236964713</v>
      </c>
      <c r="F44">
        <f>1/2*'Inputs &amp; Outputs'!$B$4*'Iterative Steps'!B44^2</f>
        <v>82.673604540635438</v>
      </c>
      <c r="G44">
        <f t="shared" si="1"/>
        <v>170.56855677760015</v>
      </c>
    </row>
    <row r="45" spans="1:7" x14ac:dyDescent="0.2">
      <c r="A45">
        <f>A44+'Inputs &amp; Outputs'!$B$6</f>
        <v>1.0807078728348887</v>
      </c>
      <c r="B45">
        <f>B44+C45*'Inputs &amp; Outputs'!$B$6</f>
        <v>5.8242067517738878</v>
      </c>
      <c r="C45">
        <f>C44+D44*'Inputs &amp; Outputs'!$B$6</f>
        <v>2.928576178366467</v>
      </c>
      <c r="D45">
        <f>(-'Inputs &amp; Outputs'!$B$4*B45)/'Inputs &amp; Outputs'!$B$5</f>
        <v>-1.456051687943472</v>
      </c>
      <c r="E45">
        <f>1/2*'Inputs &amp; Outputs'!$B$5*'Iterative Steps'!C45^2</f>
        <v>85.765584324955398</v>
      </c>
      <c r="F45">
        <f>1/2*'Inputs &amp; Outputs'!$B$4*'Iterative Steps'!B45^2</f>
        <v>84.803460718521364</v>
      </c>
      <c r="G45">
        <f t="shared" si="1"/>
        <v>170.56904504347676</v>
      </c>
    </row>
    <row r="46" spans="1:7" x14ac:dyDescent="0.2">
      <c r="A46">
        <f>A45+'Inputs &amp; Outputs'!$B$6</f>
        <v>1.105840614063607</v>
      </c>
      <c r="B46">
        <f>B45+C46*'Inputs &amp; Outputs'!$B$6</f>
        <v>5.8968901771679185</v>
      </c>
      <c r="C46">
        <f>C45+D45*'Inputs &amp; Outputs'!$B$6</f>
        <v>2.891981608077745</v>
      </c>
      <c r="D46">
        <f>(-'Inputs &amp; Outputs'!$B$4*B46)/'Inputs &amp; Outputs'!$B$5</f>
        <v>-1.4742225442919796</v>
      </c>
      <c r="E46">
        <f>1/2*'Inputs &amp; Outputs'!$B$5*'Iterative Steps'!C46^2</f>
        <v>83.635576214599396</v>
      </c>
      <c r="F46">
        <f>1/2*'Inputs &amp; Outputs'!$B$4*'Iterative Steps'!B46^2</f>
        <v>86.933284403948718</v>
      </c>
      <c r="G46">
        <f t="shared" si="1"/>
        <v>170.56886061854811</v>
      </c>
    </row>
    <row r="47" spans="1:7" x14ac:dyDescent="0.2">
      <c r="A47">
        <f>A46+'Inputs &amp; Outputs'!$B$6</f>
        <v>1.1309733552923253</v>
      </c>
      <c r="B47">
        <f>B46+C47*'Inputs &amp; Outputs'!$B$6</f>
        <v>5.9686424029900245</v>
      </c>
      <c r="C47">
        <f>C46+D46*'Inputs &amp; Outputs'!$B$6</f>
        <v>2.8549303543585118</v>
      </c>
      <c r="D47">
        <f>(-'Inputs &amp; Outputs'!$B$4*B47)/'Inputs &amp; Outputs'!$B$5</f>
        <v>-1.4921606007475061</v>
      </c>
      <c r="E47">
        <f>1/2*'Inputs &amp; Outputs'!$B$5*'Iterative Steps'!C47^2</f>
        <v>81.506273282376185</v>
      </c>
      <c r="F47">
        <f>1/2*'Inputs &amp; Outputs'!$B$4*'Iterative Steps'!B47^2</f>
        <v>89.061730336926331</v>
      </c>
      <c r="G47">
        <f t="shared" si="1"/>
        <v>170.56800361930252</v>
      </c>
    </row>
    <row r="48" spans="1:7" x14ac:dyDescent="0.2">
      <c r="A48">
        <f>A47+'Inputs &amp; Outputs'!$B$6</f>
        <v>1.1561060965210437</v>
      </c>
      <c r="B48">
        <f>B47+C48*'Inputs &amp; Outputs'!$B$6</f>
        <v>6.0394520985828652</v>
      </c>
      <c r="C48">
        <f>C47+D47*'Inputs &amp; Outputs'!$B$6</f>
        <v>2.8174282681082357</v>
      </c>
      <c r="D48">
        <f>(-'Inputs &amp; Outputs'!$B$4*B48)/'Inputs &amp; Outputs'!$B$5</f>
        <v>-1.5098630246457163</v>
      </c>
      <c r="E48">
        <f>1/2*'Inputs &amp; Outputs'!$B$5*'Iterative Steps'!C48^2</f>
        <v>79.379020459353725</v>
      </c>
      <c r="F48">
        <f>1/2*'Inputs &amp; Outputs'!$B$4*'Iterative Steps'!B48^2</f>
        <v>91.187454127692433</v>
      </c>
      <c r="G48">
        <f t="shared" si="1"/>
        <v>170.56647458704617</v>
      </c>
    </row>
    <row r="49" spans="1:7" x14ac:dyDescent="0.2">
      <c r="A49">
        <f>A48+'Inputs &amp; Outputs'!$B$6</f>
        <v>1.181238837749762</v>
      </c>
      <c r="B49">
        <f>B48+C49*'Inputs &amp; Outputs'!$B$6</f>
        <v>6.1093080821275079</v>
      </c>
      <c r="C49">
        <f>C48+D48*'Inputs &amp; Outputs'!$B$6</f>
        <v>2.7794812714190047</v>
      </c>
      <c r="D49">
        <f>(-'Inputs &amp; Outputs'!$B$4*B49)/'Inputs &amp; Outputs'!$B$5</f>
        <v>-1.527327020531877</v>
      </c>
      <c r="E49">
        <f>1/2*'Inputs &amp; Outputs'!$B$5*'Iterative Steps'!C49^2</f>
        <v>77.255161381690073</v>
      </c>
      <c r="F49">
        <f>1/2*'Inputs &amp; Outputs'!$B$4*'Iterative Steps'!B49^2</f>
        <v>93.309113105871234</v>
      </c>
      <c r="G49">
        <f t="shared" si="1"/>
        <v>170.56427448756131</v>
      </c>
    </row>
    <row r="50" spans="1:7" x14ac:dyDescent="0.2">
      <c r="A50">
        <f>A49+'Inputs &amp; Outputs'!$B$6</f>
        <v>1.2063715789784804</v>
      </c>
      <c r="B50">
        <f>B49+C50*'Inputs &amp; Outputs'!$B$6</f>
        <v>6.1781993224091911</v>
      </c>
      <c r="C50">
        <f>C49+D49*'Inputs &amp; Outputs'!$B$6</f>
        <v>2.7410953566403475</v>
      </c>
      <c r="D50">
        <f>(-'Inputs &amp; Outputs'!$B$4*B50)/'Inputs &amp; Outputs'!$B$5</f>
        <v>-1.5445498306022978</v>
      </c>
      <c r="E50">
        <f>1/2*'Inputs &amp; Outputs'!$B$5*'Iterative Steps'!C50^2</f>
        <v>75.136037541952746</v>
      </c>
      <c r="F50">
        <f>1/2*'Inputs &amp; Outputs'!$B$4*'Iterative Steps'!B50^2</f>
        <v>95.42536716854346</v>
      </c>
      <c r="G50">
        <f t="shared" si="1"/>
        <v>170.56140471049622</v>
      </c>
    </row>
    <row r="51" spans="1:7" x14ac:dyDescent="0.2">
      <c r="A51">
        <f>A50+'Inputs &amp; Outputs'!$B$6</f>
        <v>1.2315043202071987</v>
      </c>
      <c r="B51">
        <f>B50+C51*'Inputs &amp; Outputs'!$B$6</f>
        <v>6.2461149405593019</v>
      </c>
      <c r="C51">
        <f>C50+D50*'Inputs &amp; Outputs'!$B$6</f>
        <v>2.7022765854329593</v>
      </c>
      <c r="D51">
        <f>(-'Inputs &amp; Outputs'!$B$4*B51)/'Inputs &amp; Outputs'!$B$5</f>
        <v>-1.5615287351398255</v>
      </c>
      <c r="E51">
        <f>1/2*'Inputs &amp; Outputs'!$B$5*'Iterative Steps'!C51^2</f>
        <v>73.022987441792139</v>
      </c>
      <c r="F51">
        <f>1/2*'Inputs &amp; Outputs'!$B$4*'Iterative Steps'!B51^2</f>
        <v>97.534879626695329</v>
      </c>
      <c r="G51">
        <f t="shared" si="1"/>
        <v>170.55786706848747</v>
      </c>
    </row>
    <row r="52" spans="1:7" x14ac:dyDescent="0.2">
      <c r="A52">
        <f>A51+'Inputs &amp; Outputs'!$B$6</f>
        <v>1.256637061435917</v>
      </c>
      <c r="B52">
        <f>B51+C52*'Inputs &amp; Outputs'!$B$6</f>
        <v>6.3130442117732999</v>
      </c>
      <c r="C52">
        <f>C51+D51*'Inputs &amp; Outputs'!$B$6</f>
        <v>2.6630310878114822</v>
      </c>
      <c r="D52">
        <f>(-'Inputs &amp; Outputs'!$B$4*B52)/'Inputs &amp; Outputs'!$B$5</f>
        <v>-1.578261052943325</v>
      </c>
      <c r="E52">
        <f>1/2*'Inputs &amp; Outputs'!$B$5*'Iterative Steps'!C52^2</f>
        <v>70.917345746504054</v>
      </c>
      <c r="F52">
        <f>1/2*'Inputs &amp; Outputs'!$B$4*'Iterative Steps'!B52^2</f>
        <v>99.636318049510919</v>
      </c>
      <c r="G52">
        <f t="shared" si="1"/>
        <v>170.55366379601497</v>
      </c>
    </row>
    <row r="53" spans="1:7" x14ac:dyDescent="0.2">
      <c r="A53">
        <f>A52+'Inputs &amp; Outputs'!$B$6</f>
        <v>1.2817698026646354</v>
      </c>
      <c r="B53">
        <f>B52+C53*'Inputs &amp; Outputs'!$B$6</f>
        <v>6.3789765670043099</v>
      </c>
      <c r="C53">
        <f>C52+D52*'Inputs &amp; Outputs'!$B$6</f>
        <v>2.6233650611764929</v>
      </c>
      <c r="D53">
        <f>(-'Inputs &amp; Outputs'!$B$4*B53)/'Inputs &amp; Outputs'!$B$5</f>
        <v>-1.5947441417510775</v>
      </c>
      <c r="E53">
        <f>1/2*'Inputs &amp; Outputs'!$B$5*'Iterative Steps'!C53^2</f>
        <v>68.820442442015448</v>
      </c>
      <c r="F53">
        <f>1/2*'Inputs &amp; Outputs'!$B$4*'Iterative Steps'!B53^2</f>
        <v>101.72835510597523</v>
      </c>
      <c r="G53">
        <f t="shared" si="1"/>
        <v>170.54879754799066</v>
      </c>
    </row>
    <row r="54" spans="1:7" x14ac:dyDescent="0.2">
      <c r="A54">
        <f>A53+'Inputs &amp; Outputs'!$B$6</f>
        <v>1.3069025438933537</v>
      </c>
      <c r="B54">
        <f>B53+C54*'Inputs &amp; Outputs'!$B$6</f>
        <v>6.4439015946321172</v>
      </c>
      <c r="C54">
        <f>C53+D53*'Inputs &amp; Outputs'!$B$6</f>
        <v>2.5832847693358487</v>
      </c>
      <c r="D54">
        <f>(-'Inputs &amp; Outputs'!$B$4*B54)/'Inputs &amp; Outputs'!$B$5</f>
        <v>-1.6109753986580295</v>
      </c>
      <c r="E54">
        <f>1/2*'Inputs &amp; Outputs'!$B$5*'Iterative Steps'!C54^2</f>
        <v>66.73360199482569</v>
      </c>
      <c r="F54">
        <f>1/2*'Inputs &amp; Outputs'!$B$4*'Iterative Steps'!B54^2</f>
        <v>103.80966940325585</v>
      </c>
      <c r="G54">
        <f t="shared" si="1"/>
        <v>170.54327139808154</v>
      </c>
    </row>
    <row r="55" spans="1:7" x14ac:dyDescent="0.2">
      <c r="A55">
        <f>A54+'Inputs &amp; Outputs'!$B$6</f>
        <v>1.332035285122072</v>
      </c>
      <c r="B55">
        <f>B54+C55*'Inputs &amp; Outputs'!$B$6</f>
        <v>6.5078090421073069</v>
      </c>
      <c r="C55">
        <f>C54+D54*'Inputs &amp; Outputs'!$B$6</f>
        <v>2.5427965415155449</v>
      </c>
      <c r="D55">
        <f>(-'Inputs &amp; Outputs'!$B$4*B55)/'Inputs &amp; Outputs'!$B$5</f>
        <v>-1.6269522605268267</v>
      </c>
      <c r="E55">
        <f>1/2*'Inputs &amp; Outputs'!$B$5*'Iterative Steps'!C55^2</f>
        <v>64.658142515434164</v>
      </c>
      <c r="F55">
        <f>1/2*'Inputs &amp; Outputs'!$B$4*'Iterative Steps'!B55^2</f>
        <v>105.87894632133406</v>
      </c>
      <c r="G55">
        <f t="shared" si="1"/>
        <v>170.53708883676822</v>
      </c>
    </row>
    <row r="56" spans="1:7" x14ac:dyDescent="0.2">
      <c r="A56">
        <f>A55+'Inputs &amp; Outputs'!$B$6</f>
        <v>1.3571680263507904</v>
      </c>
      <c r="B56">
        <f>B55+C56*'Inputs &amp; Outputs'!$B$6</f>
        <v>6.5706888175702822</v>
      </c>
      <c r="C56">
        <f>C55+D55*'Inputs &amp; Outputs'!$B$6</f>
        <v>2.5019067713602459</v>
      </c>
      <c r="D56">
        <f>(-'Inputs &amp; Outputs'!$B$4*B56)/'Inputs &amp; Outputs'!$B$5</f>
        <v>-1.6426722043925708</v>
      </c>
      <c r="E56">
        <f>1/2*'Inputs &amp; Outputs'!$B$5*'Iterative Steps'!C56^2</f>
        <v>62.595374925782494</v>
      </c>
      <c r="F56">
        <f>1/2*'Inputs &amp; Outputs'!$B$4*'Iterative Steps'!B56^2</f>
        <v>107.93487884335788</v>
      </c>
      <c r="G56">
        <f t="shared" si="1"/>
        <v>170.53025376914036</v>
      </c>
    </row>
    <row r="57" spans="1:7" x14ac:dyDescent="0.2">
      <c r="A57">
        <f>A56+'Inputs &amp; Outputs'!$B$6</f>
        <v>1.3823007675795087</v>
      </c>
      <c r="B57">
        <f>B56+C57*'Inputs &amp; Outputs'!$B$6</f>
        <v>6.632530991444904</v>
      </c>
      <c r="C57">
        <f>C56+D56*'Inputs &amp; Outputs'!$B$6</f>
        <v>2.4606219159236389</v>
      </c>
      <c r="D57">
        <f>(-'Inputs &amp; Outputs'!$B$4*B57)/'Inputs &amp; Outputs'!$B$5</f>
        <v>-1.658132747861226</v>
      </c>
      <c r="E57">
        <f>1/2*'Inputs &amp; Outputs'!$B$5*'Iterative Steps'!C57^2</f>
        <v>60.546602131237194</v>
      </c>
      <c r="F57">
        <f>1/2*'Inputs &amp; Outputs'!$B$4*'Iterative Steps'!B57^2</f>
        <v>109.97616838119279</v>
      </c>
      <c r="G57">
        <f t="shared" si="1"/>
        <v>170.52277051242999</v>
      </c>
    </row>
    <row r="58" spans="1:7" x14ac:dyDescent="0.2">
      <c r="A58">
        <f>A57+'Inputs &amp; Outputs'!$B$6</f>
        <v>1.407433508808227</v>
      </c>
      <c r="B58">
        <f>B57+C58*'Inputs &amp; Outputs'!$B$6</f>
        <v>6.6933257980065095</v>
      </c>
      <c r="C58">
        <f>C57+D57*'Inputs &amp; Outputs'!$B$6</f>
        <v>2.4189484946487791</v>
      </c>
      <c r="D58">
        <f>(-'Inputs &amp; Outputs'!$B$4*B58)/'Inputs &amp; Outputs'!$B$5</f>
        <v>-1.6733314495016274</v>
      </c>
      <c r="E58">
        <f>1/2*'Inputs &amp; Outputs'!$B$5*'Iterative Steps'!C58^2</f>
        <v>58.513118197635947</v>
      </c>
      <c r="F58">
        <f>1/2*'Inputs &amp; Outputs'!$B$4*'Iterative Steps'!B58^2</f>
        <v>112.0015255956487</v>
      </c>
      <c r="G58">
        <f t="shared" si="1"/>
        <v>170.51464379328465</v>
      </c>
    </row>
    <row r="59" spans="1:7" x14ac:dyDescent="0.2">
      <c r="A59">
        <f>A58+'Inputs &amp; Outputs'!$B$6</f>
        <v>1.4325662500369454</v>
      </c>
      <c r="B59">
        <f>B58+C59*'Inputs &amp; Outputs'!$B$6</f>
        <v>6.7530636369240522</v>
      </c>
      <c r="C59">
        <f>C58+D58*'Inputs &amp; Outputs'!$B$6</f>
        <v>2.3768930883385786</v>
      </c>
      <c r="D59">
        <f>(-'Inputs &amp; Outputs'!$B$4*B59)/'Inputs &amp; Outputs'!$B$5</f>
        <v>-1.6882659092310131</v>
      </c>
      <c r="E59">
        <f>1/2*'Inputs &amp; Outputs'!$B$5*'Iterative Steps'!C59^2</f>
        <v>56.496207533917058</v>
      </c>
      <c r="F59">
        <f>1/2*'Inputs &amp; Outputs'!$B$4*'Iterative Steps'!B59^2</f>
        <v>114.00967121086478</v>
      </c>
      <c r="G59">
        <f t="shared" si="1"/>
        <v>170.50587874478185</v>
      </c>
    </row>
    <row r="60" spans="1:7" x14ac:dyDescent="0.2">
      <c r="A60">
        <f>A59+'Inputs &amp; Outputs'!$B$6</f>
        <v>1.4576989912656637</v>
      </c>
      <c r="B60">
        <f>B59+C60*'Inputs &amp; Outputs'!$B$6</f>
        <v>6.8117350747761254</v>
      </c>
      <c r="C60">
        <f>C59+D59*'Inputs &amp; Outputs'!$B$6</f>
        <v>2.3344623381166087</v>
      </c>
      <c r="D60">
        <f>(-'Inputs &amp; Outputs'!$B$4*B60)/'Inputs &amp; Outputs'!$B$5</f>
        <v>-1.7029337686940313</v>
      </c>
      <c r="E60">
        <f>1/2*'Inputs &amp; Outputs'!$B$5*'Iterative Steps'!C60^2</f>
        <v>54.497144080848642</v>
      </c>
      <c r="F60">
        <f>1/2*'Inputs &amp; Outputs'!$B$4*'Iterative Steps'!B60^2</f>
        <v>115.99933682233826</v>
      </c>
      <c r="G60">
        <f t="shared" si="1"/>
        <v>170.49648090318692</v>
      </c>
    </row>
    <row r="61" spans="1:7" x14ac:dyDescent="0.2">
      <c r="A61">
        <f>A60+'Inputs &amp; Outputs'!$B$6</f>
        <v>1.482831732494382</v>
      </c>
      <c r="B61">
        <f>B60+C61*'Inputs &amp; Outputs'!$B$6</f>
        <v>6.8693308465406302</v>
      </c>
      <c r="C61">
        <f>C60+D60*'Inputs &amp; Outputs'!$B$6</f>
        <v>2.2916629443783756</v>
      </c>
      <c r="D61">
        <f>(-'Inputs &amp; Outputs'!$B$4*B61)/'Inputs &amp; Outputs'!$B$5</f>
        <v>-1.7173327116351575</v>
      </c>
      <c r="E61">
        <f>1/2*'Inputs &amp; Outputs'!$B$5*'Iterative Steps'!C61^2</f>
        <v>52.517190506369658</v>
      </c>
      <c r="F61">
        <f>1/2*'Inputs &amp; Outputs'!$B$4*'Iterative Steps'!B61^2</f>
        <v>117.96926569808653</v>
      </c>
      <c r="G61">
        <f t="shared" si="1"/>
        <v>170.4864562044562</v>
      </c>
    </row>
    <row r="62" spans="1:7" x14ac:dyDescent="0.2">
      <c r="A62">
        <f>A61+'Inputs &amp; Outputs'!$B$6</f>
        <v>1.5079644737231004</v>
      </c>
      <c r="B62">
        <f>B61+C62*'Inputs &amp; Outputs'!$B$6</f>
        <v>6.9258418570578462</v>
      </c>
      <c r="C62">
        <f>C61+D61*'Inputs &amp; Outputs'!$B$6</f>
        <v>2.2485016657332362</v>
      </c>
      <c r="D62">
        <f>(-'Inputs &amp; Outputs'!$B$4*B62)/'Inputs &amp; Outputs'!$B$5</f>
        <v>-1.7314604642644613</v>
      </c>
      <c r="E62">
        <f>1/2*'Inputs &amp; Outputs'!$B$5*'Iterative Steps'!C62^2</f>
        <v>50.557597408051372</v>
      </c>
      <c r="F62">
        <f>1/2*'Inputs &amp; Outputs'!$B$4*'Iterative Steps'!B62^2</f>
        <v>119.9182135724362</v>
      </c>
      <c r="G62">
        <f t="shared" si="1"/>
        <v>170.47581098048758</v>
      </c>
    </row>
    <row r="63" spans="1:7" x14ac:dyDescent="0.2">
      <c r="A63">
        <f>A62+'Inputs &amp; Outputs'!$B$6</f>
        <v>1.5330972149518187</v>
      </c>
      <c r="B63">
        <f>B62+C63*'Inputs &amp; Outputs'!$B$6</f>
        <v>6.9812591824666832</v>
      </c>
      <c r="C63">
        <f>C62+D62*'Inputs &amp; Outputs'!$B$6</f>
        <v>2.2049853179371208</v>
      </c>
      <c r="D63">
        <f>(-'Inputs &amp; Outputs'!$B$4*B63)/'Inputs &amp; Outputs'!$B$5</f>
        <v>-1.745314795616671</v>
      </c>
      <c r="E63">
        <f>1/2*'Inputs &amp; Outputs'!$B$5*'Iterative Steps'!C63^2</f>
        <v>48.619602523182657</v>
      </c>
      <c r="F63">
        <f>1/2*'Inputs &amp; Outputs'!$B$4*'Iterative Steps'!B63^2</f>
        <v>121.84494943193846</v>
      </c>
      <c r="G63">
        <f t="shared" si="1"/>
        <v>170.46455195512112</v>
      </c>
    </row>
    <row r="64" spans="1:7" x14ac:dyDescent="0.2">
      <c r="A64">
        <f>A63+'Inputs &amp; Outputs'!$B$6</f>
        <v>1.5582299561805371</v>
      </c>
      <c r="B64">
        <f>B63+C64*'Inputs &amp; Outputs'!$B$6</f>
        <v>7.0355740716138815</v>
      </c>
      <c r="C64">
        <f>C63+D63*'Inputs &amp; Outputs'!$B$6</f>
        <v>2.1611207728162336</v>
      </c>
      <c r="D64">
        <f>(-'Inputs &amp; Outputs'!$B$4*B64)/'Inputs &amp; Outputs'!$B$5</f>
        <v>-1.7588935179034704</v>
      </c>
      <c r="E64">
        <f>1/2*'Inputs &amp; Outputs'!$B$5*'Iterative Steps'!C64^2</f>
        <v>46.704429946978351</v>
      </c>
      <c r="F64">
        <f>1/2*'Inputs &amp; Outputs'!$B$4*'Iterative Steps'!B64^2</f>
        <v>123.74825629291382</v>
      </c>
      <c r="G64">
        <f t="shared" si="1"/>
        <v>170.45268623989216</v>
      </c>
    </row>
    <row r="65" spans="1:7" x14ac:dyDescent="0.2">
      <c r="A65">
        <f>A64+'Inputs &amp; Outputs'!$B$6</f>
        <v>1.5833626974092554</v>
      </c>
      <c r="B65">
        <f>B64+C65*'Inputs &amp; Outputs'!$B$6</f>
        <v>7.0887779474359371</v>
      </c>
      <c r="C65">
        <f>C64+D64*'Inputs &amp; Outputs'!$B$6</f>
        <v>2.1169149571818955</v>
      </c>
      <c r="D65">
        <f>(-'Inputs &amp; Outputs'!$B$4*B65)/'Inputs &amp; Outputs'!$B$5</f>
        <v>-1.7721944868589845</v>
      </c>
      <c r="E65">
        <f>1/2*'Inputs &amp; Outputs'!$B$5*'Iterative Steps'!C65^2</f>
        <v>44.813289359404259</v>
      </c>
      <c r="F65">
        <f>1/2*'Inputs &amp; Outputs'!$B$4*'Iterative Steps'!B65^2</f>
        <v>125.62693197013515</v>
      </c>
      <c r="G65">
        <f t="shared" si="1"/>
        <v>170.44022132953941</v>
      </c>
    </row>
    <row r="66" spans="1:7" x14ac:dyDescent="0.2">
      <c r="A66">
        <f>A65+'Inputs &amp; Outputs'!$B$6</f>
        <v>1.6084954386379737</v>
      </c>
      <c r="B66">
        <f>B65+C66*'Inputs &amp; Outputs'!$B$6</f>
        <v>7.1408624083135397</v>
      </c>
      <c r="C66">
        <f>C65+D65*'Inputs &amp; Outputs'!$B$6</f>
        <v>2.0723748517367073</v>
      </c>
      <c r="D66">
        <f>(-'Inputs &amp; Outputs'!$B$4*B66)/'Inputs &amp; Outputs'!$B$5</f>
        <v>-1.7852156020783849</v>
      </c>
      <c r="E66">
        <f>1/2*'Inputs &amp; Outputs'!$B$5*'Iterative Steps'!C66^2</f>
        <v>42.947375261107396</v>
      </c>
      <c r="F66">
        <f>1/2*'Inputs &amp; Outputs'!$B$4*'Iterative Steps'!B66^2</f>
        <v>127.47978983616362</v>
      </c>
      <c r="G66">
        <f t="shared" si="1"/>
        <v>170.42716509727103</v>
      </c>
    </row>
    <row r="67" spans="1:7" x14ac:dyDescent="0.2">
      <c r="A67">
        <f>A66+'Inputs &amp; Outputs'!$B$6</f>
        <v>1.6336281798666921</v>
      </c>
      <c r="B67">
        <f>B66+C67*'Inputs &amp; Outputs'!$B$6</f>
        <v>7.1918192293982992</v>
      </c>
      <c r="C67">
        <f>C66+D66*'Inputs &amp; Outputs'!$B$6</f>
        <v>2.0275074899722005</v>
      </c>
      <c r="D67">
        <f>(-'Inputs &amp; Outputs'!$B$4*B67)/'Inputs &amp; Outputs'!$B$5</f>
        <v>-1.797954807349575</v>
      </c>
      <c r="E67">
        <f>1/2*'Inputs &amp; Outputs'!$B$5*'Iterative Steps'!C67^2</f>
        <v>41.107866218933736</v>
      </c>
      <c r="F67">
        <f>1/2*'Inputs &amp; Outputs'!$B$4*'Iterative Steps'!B67^2</f>
        <v>129.30565957085787</v>
      </c>
      <c r="G67">
        <f t="shared" ref="G67:G130" si="2">SUM(E67:F67)</f>
        <v>170.41352578979161</v>
      </c>
    </row>
    <row r="68" spans="1:7" x14ac:dyDescent="0.2">
      <c r="A68">
        <f>A67+'Inputs &amp; Outputs'!$B$6</f>
        <v>1.6587609210954104</v>
      </c>
      <c r="B68">
        <f>B67+C68*'Inputs &amp; Outputs'!$B$6</f>
        <v>7.2416403639115661</v>
      </c>
      <c r="C68">
        <f>C67+D67*'Inputs &amp; Outputs'!$B$6</f>
        <v>1.9823199570581536</v>
      </c>
      <c r="D68">
        <f>(-'Inputs &amp; Outputs'!$B$4*B68)/'Inputs &amp; Outputs'!$B$5</f>
        <v>-1.8104100909778915</v>
      </c>
      <c r="E68">
        <f>1/2*'Inputs &amp; Outputs'!$B$5*'Iterative Steps'!C68^2</f>
        <v>39.295924121510396</v>
      </c>
      <c r="F68">
        <f>1/2*'Inputs &amp; Outputs'!$B$4*'Iterative Steps'!B68^2</f>
        <v>131.1033879005831</v>
      </c>
      <c r="G68">
        <f t="shared" si="2"/>
        <v>170.39931202209351</v>
      </c>
    </row>
    <row r="69" spans="1:7" x14ac:dyDescent="0.2">
      <c r="A69">
        <f>A68+'Inputs &amp; Outputs'!$B$6</f>
        <v>1.6838936623241287</v>
      </c>
      <c r="B69">
        <f>B68+C69*'Inputs &amp; Outputs'!$B$6</f>
        <v>7.2903179444151247</v>
      </c>
      <c r="C69">
        <f>C68+D68*'Inputs &amp; Outputs'!$B$6</f>
        <v>1.9368193887237457</v>
      </c>
      <c r="D69">
        <f>(-'Inputs &amp; Outputs'!$B$4*B69)/'Inputs &amp; Outputs'!$B$5</f>
        <v>-1.8225794861037812</v>
      </c>
      <c r="E69">
        <f>1/2*'Inputs &amp; Outputs'!$B$5*'Iterative Steps'!C69^2</f>
        <v>37.512693445362245</v>
      </c>
      <c r="F69">
        <f>1/2*'Inputs &amp; Outputs'!$B$4*'Iterative Steps'!B69^2</f>
        <v>132.87183932665295</v>
      </c>
      <c r="G69">
        <f t="shared" si="2"/>
        <v>170.38453277201518</v>
      </c>
    </row>
    <row r="70" spans="1:7" x14ac:dyDescent="0.2">
      <c r="A70">
        <f>A69+'Inputs &amp; Outputs'!$B$6</f>
        <v>1.7090264035528471</v>
      </c>
      <c r="B70">
        <f>B69+C70*'Inputs &amp; Outputs'!$B$6</f>
        <v>7.3378442840535705</v>
      </c>
      <c r="C70">
        <f>C69+D69*'Inputs &amp; Outputs'!$B$6</f>
        <v>1.891012970130729</v>
      </c>
      <c r="D70">
        <f>(-'Inputs &amp; Outputs'!$B$4*B70)/'Inputs &amp; Outputs'!$B$5</f>
        <v>-1.8344610710133928</v>
      </c>
      <c r="E70">
        <f>1/2*'Inputs &amp; Outputs'!$B$5*'Iterative Steps'!C70^2</f>
        <v>35.759300532026415</v>
      </c>
      <c r="F70">
        <f>1/2*'Inputs &amp; Outputs'!$B$4*'Iterative Steps'!B70^2</f>
        <v>134.60989684254415</v>
      </c>
      <c r="G70">
        <f t="shared" si="2"/>
        <v>170.36919737457055</v>
      </c>
    </row>
    <row r="71" spans="1:7" x14ac:dyDescent="0.2">
      <c r="A71">
        <f>A70+'Inputs &amp; Outputs'!$B$6</f>
        <v>1.7341591447815654</v>
      </c>
      <c r="B71">
        <f>B70+C71*'Inputs &amp; Outputs'!$B$6</f>
        <v>7.3842118777681698</v>
      </c>
      <c r="C71">
        <f>C70+D70*'Inputs &amp; Outputs'!$B$6</f>
        <v>1.8449079347387918</v>
      </c>
      <c r="D71">
        <f>(-'Inputs &amp; Outputs'!$B$4*B71)/'Inputs &amp; Outputs'!$B$5</f>
        <v>-1.8460529694420422</v>
      </c>
      <c r="E71">
        <f>1/2*'Inputs &amp; Outputs'!$B$5*'Iterative Steps'!C71^2</f>
        <v>34.036852876621538</v>
      </c>
      <c r="F71">
        <f>1/2*'Inputs &amp; Outputs'!$B$4*'Iterative Steps'!B71^2</f>
        <v>136.31646263943131</v>
      </c>
      <c r="G71">
        <f t="shared" si="2"/>
        <v>170.35331551605285</v>
      </c>
    </row>
    <row r="72" spans="1:7" x14ac:dyDescent="0.2">
      <c r="A72">
        <f>A71+'Inputs &amp; Outputs'!$B$6</f>
        <v>1.7592918860102837</v>
      </c>
      <c r="B72">
        <f>B71+C72*'Inputs &amp; Outputs'!$B$6</f>
        <v>7.4294134034820107</v>
      </c>
      <c r="C72">
        <f>C71+D71*'Inputs &amp; Outputs'!$B$6</f>
        <v>1.7985115631632977</v>
      </c>
      <c r="D72">
        <f>(-'Inputs &amp; Outputs'!$B$4*B72)/'Inputs &amp; Outputs'!$B$5</f>
        <v>-1.8573533508705027</v>
      </c>
      <c r="E72">
        <f>1/2*'Inputs &amp; Outputs'!$B$5*'Iterative Steps'!C72^2</f>
        <v>32.346438428320887</v>
      </c>
      <c r="F72">
        <f>1/2*'Inputs &amp; Outputs'!$B$4*'Iterative Steps'!B72^2</f>
        <v>137.99045879959539</v>
      </c>
      <c r="G72">
        <f t="shared" si="2"/>
        <v>170.33689722791627</v>
      </c>
    </row>
    <row r="73" spans="1:7" x14ac:dyDescent="0.2">
      <c r="A73">
        <f>A72+'Inputs &amp; Outputs'!$B$6</f>
        <v>1.7844246272390021</v>
      </c>
      <c r="B73">
        <f>B72+C73*'Inputs &amp; Outputs'!$B$6</f>
        <v>7.4734417232562596</v>
      </c>
      <c r="C73">
        <f>C72+D72*'Inputs &amp; Outputs'!$B$6</f>
        <v>1.7518311820255765</v>
      </c>
      <c r="D73">
        <f>(-'Inputs &amp; Outputs'!$B$4*B73)/'Inputs &amp; Outputs'!$B$5</f>
        <v>-1.8683604308140649</v>
      </c>
      <c r="E73">
        <f>1/2*'Inputs &amp; Outputs'!$B$5*'Iterative Steps'!C73^2</f>
        <v>30.689124903171287</v>
      </c>
      <c r="F73">
        <f>1/2*'Inputs &amp; Outputs'!$B$4*'Iterative Steps'!B73^2</f>
        <v>139.63082797726872</v>
      </c>
      <c r="G73">
        <f t="shared" si="2"/>
        <v>170.31995288044001</v>
      </c>
    </row>
    <row r="74" spans="1:7" x14ac:dyDescent="0.2">
      <c r="A74">
        <f>A73+'Inputs &amp; Outputs'!$B$6</f>
        <v>1.8095573684677204</v>
      </c>
      <c r="B74">
        <f>B73+C74*'Inputs &amp; Outputs'!$B$6</f>
        <v>7.516289884417338</v>
      </c>
      <c r="C74">
        <f>C73+D73*'Inputs &amp; Outputs'!$B$6</f>
        <v>1.7048741627959498</v>
      </c>
      <c r="D74">
        <f>(-'Inputs &amp; Outputs'!$B$4*B74)/'Inputs &amp; Outputs'!$B$5</f>
        <v>-1.8790724711043345</v>
      </c>
      <c r="E74">
        <f>1/2*'Inputs &amp; Outputs'!$B$5*'Iterative Steps'!C74^2</f>
        <v>29.06595910969191</v>
      </c>
      <c r="F74">
        <f>1/2*'Inputs &amp; Outputs'!$B$4*'Iterative Steps'!B74^2</f>
        <v>141.236534066486</v>
      </c>
      <c r="G74">
        <f t="shared" si="2"/>
        <v>170.3024931761779</v>
      </c>
    </row>
    <row r="75" spans="1:7" x14ac:dyDescent="0.2">
      <c r="A75">
        <f>A74+'Inputs &amp; Outputs'!$B$6</f>
        <v>1.8346901096964388</v>
      </c>
      <c r="B75">
        <f>B74+C75*'Inputs &amp; Outputs'!$B$6</f>
        <v>7.5579511206548471</v>
      </c>
      <c r="C75">
        <f>C74+D74*'Inputs &amp; Outputs'!$B$6</f>
        <v>1.6576479206296764</v>
      </c>
      <c r="D75">
        <f>(-'Inputs &amp; Outputs'!$B$4*B75)/'Inputs &amp; Outputs'!$B$5</f>
        <v>-1.8894877801637118</v>
      </c>
      <c r="E75">
        <f>1/2*'Inputs &amp; Outputs'!$B$5*'Iterative Steps'!C75^2</f>
        <v>27.4779662876789</v>
      </c>
      <c r="F75">
        <f>1/2*'Inputs &amp; Outputs'!$B$4*'Iterative Steps'!B75^2</f>
        <v>142.80656285551964</v>
      </c>
      <c r="G75">
        <f t="shared" si="2"/>
        <v>170.28452914319854</v>
      </c>
    </row>
    <row r="76" spans="1:7" x14ac:dyDescent="0.2">
      <c r="A76">
        <f>A75+'Inputs &amp; Outputs'!$B$6</f>
        <v>1.8598228509251571</v>
      </c>
      <c r="B76">
        <f>B75+C76*'Inputs &amp; Outputs'!$B$6</f>
        <v>7.5984188530900578</v>
      </c>
      <c r="C76">
        <f>C75+D75*'Inputs &amp; Outputs'!$B$6</f>
        <v>1.6101599131959963</v>
      </c>
      <c r="D76">
        <f>(-'Inputs &amp; Outputs'!$B$4*B76)/'Inputs &amp; Outputs'!$B$5</f>
        <v>-1.8996047132725145</v>
      </c>
      <c r="E76">
        <f>1/2*'Inputs &amp; Outputs'!$B$5*'Iterative Steps'!C76^2</f>
        <v>25.926149460633383</v>
      </c>
      <c r="F76">
        <f>1/2*'Inputs &amp; Outputs'!$B$4*'Iterative Steps'!B76^2</f>
        <v>144.33992266748606</v>
      </c>
      <c r="G76">
        <f t="shared" si="2"/>
        <v>170.26607212811945</v>
      </c>
    </row>
    <row r="77" spans="1:7" x14ac:dyDescent="0.2">
      <c r="A77">
        <f>A76+'Inputs &amp; Outputs'!$B$6</f>
        <v>1.8849555921538754</v>
      </c>
      <c r="B77">
        <f>B76+C77*'Inputs &amp; Outputs'!$B$6</f>
        <v>7.6376866913148076</v>
      </c>
      <c r="C77">
        <f>C76+D76*'Inputs &amp; Outputs'!$B$6</f>
        <v>1.5624176395004645</v>
      </c>
      <c r="D77">
        <f>(-'Inputs &amp; Outputs'!$B$4*B77)/'Inputs &amp; Outputs'!$B$5</f>
        <v>-1.9094216728287019</v>
      </c>
      <c r="E77">
        <f>1/2*'Inputs &amp; Outputs'!$B$5*'Iterative Steps'!C77^2</f>
        <v>24.411488802222038</v>
      </c>
      <c r="F77">
        <f>1/2*'Inputs &amp; Outputs'!$B$4*'Iterative Steps'!B77^2</f>
        <v>145.83564498671834</v>
      </c>
      <c r="G77">
        <f t="shared" si="2"/>
        <v>170.24713378894037</v>
      </c>
    </row>
    <row r="78" spans="1:7" x14ac:dyDescent="0.2">
      <c r="A78">
        <f>A77+'Inputs &amp; Outputs'!$B$6</f>
        <v>1.9100883333825938</v>
      </c>
      <c r="B78">
        <f>B77+C78*'Inputs &amp; Outputs'!$B$6</f>
        <v>7.6757484344006341</v>
      </c>
      <c r="C78">
        <f>C77+D77*'Inputs &amp; Outputs'!$B$6</f>
        <v>1.5144286387007542</v>
      </c>
      <c r="D78">
        <f>(-'Inputs &amp; Outputs'!$B$4*B78)/'Inputs &amp; Outputs'!$B$5</f>
        <v>-1.9189371086001585</v>
      </c>
      <c r="E78">
        <f>1/2*'Inputs &amp; Outputs'!$B$5*'Iterative Steps'!C78^2</f>
        <v>22.934941017170196</v>
      </c>
      <c r="F78">
        <f>1/2*'Inputs &amp; Outputs'!$B$4*'Iterative Steps'!B78^2</f>
        <v>147.29278507050947</v>
      </c>
      <c r="G78">
        <f t="shared" si="2"/>
        <v>170.22772608767966</v>
      </c>
    </row>
    <row r="79" spans="1:7" x14ac:dyDescent="0.2">
      <c r="A79">
        <f>A78+'Inputs &amp; Outputs'!$B$6</f>
        <v>1.9352210746113121</v>
      </c>
      <c r="B79">
        <f>B78+C79*'Inputs &amp; Outputs'!$B$6</f>
        <v>7.7125980718779834</v>
      </c>
      <c r="C79">
        <f>C78+D78*'Inputs &amp; Outputs'!$B$6</f>
        <v>1.4662004889161213</v>
      </c>
      <c r="D79">
        <f>(-'Inputs &amp; Outputs'!$B$4*B79)/'Inputs &amp; Outputs'!$B$5</f>
        <v>-1.9281495179694956</v>
      </c>
      <c r="E79">
        <f>1/2*'Inputs &amp; Outputs'!$B$5*'Iterative Steps'!C79^2</f>
        <v>21.497438736978729</v>
      </c>
      <c r="F79">
        <f>1/2*'Inputs &amp; Outputs'!$B$4*'Iterative Steps'!B79^2</f>
        <v>148.71042254583998</v>
      </c>
      <c r="G79">
        <f t="shared" si="2"/>
        <v>170.2078612828187</v>
      </c>
    </row>
    <row r="80" spans="1:7" x14ac:dyDescent="0.2">
      <c r="A80">
        <f>A79+'Inputs &amp; Outputs'!$B$6</f>
        <v>1.9603538158400304</v>
      </c>
      <c r="B80">
        <f>B79+C80*'Inputs &amp; Outputs'!$B$6</f>
        <v>7.7482297846853481</v>
      </c>
      <c r="C80">
        <f>C79+D79*'Inputs &amp; Outputs'!$B$6</f>
        <v>1.4177408060307159</v>
      </c>
      <c r="D80">
        <f>(-'Inputs &amp; Outputs'!$B$4*B80)/'Inputs &amp; Outputs'!$B$5</f>
        <v>-1.937057446171337</v>
      </c>
      <c r="E80">
        <f>1/2*'Inputs &amp; Outputs'!$B$5*'Iterative Steps'!C80^2</f>
        <v>20.099889930846242</v>
      </c>
      <c r="F80">
        <f>1/2*'Inputs &amp; Outputs'!$B$4*'Iterative Steps'!B80^2</f>
        <v>150.08766199071289</v>
      </c>
      <c r="G80">
        <f t="shared" si="2"/>
        <v>170.18755192155913</v>
      </c>
    </row>
    <row r="81" spans="1:7" x14ac:dyDescent="0.2">
      <c r="A81">
        <f>A80+'Inputs &amp; Outputs'!$B$6</f>
        <v>1.9854865570687488</v>
      </c>
      <c r="B81">
        <f>B80+C81*'Inputs &amp; Outputs'!$B$6</f>
        <v>7.7826379460881752</v>
      </c>
      <c r="C81">
        <f>C80+D80*'Inputs &amp; Outputs'!$B$6</f>
        <v>1.3690572424909297</v>
      </c>
      <c r="D81">
        <f>(-'Inputs &amp; Outputs'!$B$4*B81)/'Inputs &amp; Outputs'!$B$5</f>
        <v>-1.9456594865220438</v>
      </c>
      <c r="E81">
        <f>1/2*'Inputs &amp; Outputs'!$B$5*'Iterative Steps'!C81^2</f>
        <v>18.743177332168685</v>
      </c>
      <c r="F81">
        <f>1/2*'Inputs &amp; Outputs'!$B$4*'Iterative Steps'!B81^2</f>
        <v>151.42363349972894</v>
      </c>
      <c r="G81">
        <f t="shared" si="2"/>
        <v>170.16681083189764</v>
      </c>
    </row>
    <row r="82" spans="1:7" x14ac:dyDescent="0.2">
      <c r="A82">
        <f>A81+'Inputs &amp; Outputs'!$B$6</f>
        <v>2.0106192982974673</v>
      </c>
      <c r="B82">
        <f>B81+C82*'Inputs &amp; Outputs'!$B$6</f>
        <v>7.815817122567406</v>
      </c>
      <c r="C82">
        <f>C81+D81*'Inputs &amp; Outputs'!$B$6</f>
        <v>1.3201574860969703</v>
      </c>
      <c r="D82">
        <f>(-'Inputs &amp; Outputs'!$B$4*B82)/'Inputs &amp; Outputs'!$B$5</f>
        <v>-1.9539542806418517</v>
      </c>
      <c r="E82">
        <f>1/2*'Inputs &amp; Outputs'!$B$5*'Iterative Steps'!C82^2</f>
        <v>17.428157880978723</v>
      </c>
      <c r="F82">
        <f>1/2*'Inputs &amp; Outputs'!$B$4*'Iterative Steps'!B82^2</f>
        <v>152.71749323354462</v>
      </c>
      <c r="G82">
        <f t="shared" si="2"/>
        <v>170.14565111452333</v>
      </c>
    </row>
    <row r="83" spans="1:7" x14ac:dyDescent="0.2">
      <c r="A83">
        <f>A82+'Inputs &amp; Outputs'!$B$6</f>
        <v>2.0357520395261859</v>
      </c>
      <c r="B83">
        <f>B82+C83*'Inputs &amp; Outputs'!$B$6</f>
        <v>7.8477620746775001</v>
      </c>
      <c r="C83">
        <f>C82+D82*'Inputs &amp; Outputs'!$B$6</f>
        <v>1.271049258788852</v>
      </c>
      <c r="D83">
        <f>(-'Inputs &amp; Outputs'!$B$4*B83)/'Inputs &amp; Outputs'!$B$5</f>
        <v>-1.961940518669375</v>
      </c>
      <c r="E83">
        <f>1/2*'Inputs &amp; Outputs'!$B$5*'Iterative Steps'!C83^2</f>
        <v>16.155662182676899</v>
      </c>
      <c r="F83">
        <f>1/2*'Inputs &amp; Outputs'!$B$4*'Iterative Steps'!B83^2</f>
        <v>153.96842395186624</v>
      </c>
      <c r="G83">
        <f t="shared" si="2"/>
        <v>170.12408613454315</v>
      </c>
    </row>
    <row r="84" spans="1:7" x14ac:dyDescent="0.2">
      <c r="A84">
        <f>A83+'Inputs &amp; Outputs'!$B$6</f>
        <v>2.0608847807549044</v>
      </c>
      <c r="B84">
        <f>B83+C84*'Inputs &amp; Outputs'!$B$6</f>
        <v>7.8784677578738194</v>
      </c>
      <c r="C84">
        <f>C83+D83*'Inputs &amp; Outputs'!$B$6</f>
        <v>1.2217403154269972</v>
      </c>
      <c r="D84">
        <f>(-'Inputs &amp; Outputs'!$B$4*B84)/'Inputs &amp; Outputs'!$B$5</f>
        <v>-1.9696169394684548</v>
      </c>
      <c r="E84">
        <f>1/2*'Inputs &amp; Outputs'!$B$5*'Iterative Steps'!C84^2</f>
        <v>14.926493983396586</v>
      </c>
      <c r="F84">
        <f>1/2*'Inputs &amp; Outputs'!$B$4*'Iterative Steps'!B84^2</f>
        <v>155.1756355296433</v>
      </c>
      <c r="G84">
        <f t="shared" si="2"/>
        <v>170.1021295130399</v>
      </c>
    </row>
    <row r="85" spans="1:7" x14ac:dyDescent="0.2">
      <c r="A85">
        <f>A84+'Inputs &amp; Outputs'!$B$6</f>
        <v>2.086017521983623</v>
      </c>
      <c r="B85">
        <f>B84+C85*'Inputs &amp; Outputs'!$B$6</f>
        <v>7.9079293233092276</v>
      </c>
      <c r="C85">
        <f>C84+D84*'Inputs &amp; Outputs'!$B$6</f>
        <v>1.1722384425676364</v>
      </c>
      <c r="D85">
        <f>(-'Inputs &amp; Outputs'!$B$4*B85)/'Inputs &amp; Outputs'!$B$5</f>
        <v>-1.9769823308273069</v>
      </c>
      <c r="E85">
        <f>1/2*'Inputs &amp; Outputs'!$B$5*'Iterative Steps'!C85^2</f>
        <v>13.74142966233398</v>
      </c>
      <c r="F85">
        <f>1/2*'Inputs &amp; Outputs'!$B$4*'Iterative Steps'!B85^2</f>
        <v>156.33836545613485</v>
      </c>
      <c r="G85">
        <f t="shared" si="2"/>
        <v>170.07979511846884</v>
      </c>
    </row>
    <row r="86" spans="1:7" x14ac:dyDescent="0.2">
      <c r="A86">
        <f>A85+'Inputs &amp; Outputs'!$B$6</f>
        <v>2.1111502632123416</v>
      </c>
      <c r="B86">
        <f>B85+C86*'Inputs &amp; Outputs'!$B$6</f>
        <v>7.9361421185997907</v>
      </c>
      <c r="C86">
        <f>C85+D85*'Inputs &amp; Outputs'!$B$6</f>
        <v>1.1225514572332054</v>
      </c>
      <c r="D86">
        <f>(-'Inputs &amp; Outputs'!$B$4*B86)/'Inputs &amp; Outputs'!$B$5</f>
        <v>-1.9840355296499479</v>
      </c>
      <c r="E86">
        <f>1/2*'Inputs &amp; Outputs'!$B$5*'Iterative Steps'!C86^2</f>
        <v>12.601217741363929</v>
      </c>
      <c r="F86">
        <f>1/2*'Inputs &amp; Outputs'!$B$4*'Iterative Steps'!B86^2</f>
        <v>157.45587931653392</v>
      </c>
      <c r="G86">
        <f t="shared" si="2"/>
        <v>170.05709705789786</v>
      </c>
    </row>
    <row r="87" spans="1:7" x14ac:dyDescent="0.2">
      <c r="A87">
        <f>A86+'Inputs &amp; Outputs'!$B$6</f>
        <v>2.1362830044410601</v>
      </c>
      <c r="B87">
        <f>B86+C87*'Inputs &amp; Outputs'!$B$6</f>
        <v>7.9631016885594512</v>
      </c>
      <c r="C87">
        <f>C86+D86*'Inputs &amp; Outputs'!$B$6</f>
        <v>1.0726872056779302</v>
      </c>
      <c r="D87">
        <f>(-'Inputs &amp; Outputs'!$B$4*B87)/'Inputs &amp; Outputs'!$B$5</f>
        <v>-1.9907754221398626</v>
      </c>
      <c r="E87">
        <f>1/2*'Inputs &amp; Outputs'!$B$5*'Iterative Steps'!C87^2</f>
        <v>11.50657841225126</v>
      </c>
      <c r="F87">
        <f>1/2*'Inputs &amp; Outputs'!$B$4*'Iterative Steps'!B87^2</f>
        <v>158.52747125584597</v>
      </c>
      <c r="G87">
        <f t="shared" si="2"/>
        <v>170.03404966809723</v>
      </c>
    </row>
    <row r="88" spans="1:7" x14ac:dyDescent="0.2">
      <c r="A88">
        <f>A87+'Inputs &amp; Outputs'!$B$6</f>
        <v>2.1614157456697787</v>
      </c>
      <c r="B88">
        <f>B87+C88*'Inputs &amp; Outputs'!$B$6</f>
        <v>7.9888037759035644</v>
      </c>
      <c r="C88">
        <f>C87+D87*'Inputs &amp; Outputs'!$B$6</f>
        <v>1.0226535621487964</v>
      </c>
      <c r="D88">
        <f>(-'Inputs &amp; Outputs'!$B$4*B88)/'Inputs &amp; Outputs'!$B$5</f>
        <v>-1.9972009439758911</v>
      </c>
      <c r="E88">
        <f>1/2*'Inputs &amp; Outputs'!$B$5*'Iterative Steps'!C88^2</f>
        <v>10.458203081756224</v>
      </c>
      <c r="F88">
        <f>1/2*'Inputs &amp; Outputs'!$B$4*'Iterative Steps'!B88^2</f>
        <v>159.55246442472762</v>
      </c>
      <c r="G88">
        <f t="shared" si="2"/>
        <v>170.01066750648386</v>
      </c>
    </row>
    <row r="89" spans="1:7" x14ac:dyDescent="0.2">
      <c r="A89">
        <f>A88+'Inputs &amp; Outputs'!$B$6</f>
        <v>2.1865484868984972</v>
      </c>
      <c r="B89">
        <f>B88+C89*'Inputs &amp; Outputs'!$B$6</f>
        <v>8.0132443219211797</v>
      </c>
      <c r="C89">
        <f>C88+D88*'Inputs &amp; Outputs'!$B$6</f>
        <v>0.97245842764209833</v>
      </c>
      <c r="D89">
        <f>(-'Inputs &amp; Outputs'!$B$4*B89)/'Inputs &amp; Outputs'!$B$5</f>
        <v>-2.0033110804802949</v>
      </c>
      <c r="E89">
        <f>1/2*'Inputs &amp; Outputs'!$B$5*'Iterative Steps'!C89^2</f>
        <v>9.4567539349214229</v>
      </c>
      <c r="F89">
        <f>1/2*'Inputs &amp; Outputs'!$B$4*'Iterative Steps'!B89^2</f>
        <v>160.53021140700508</v>
      </c>
      <c r="G89">
        <f t="shared" si="2"/>
        <v>169.98696534192652</v>
      </c>
    </row>
    <row r="90" spans="1:7" x14ac:dyDescent="0.2">
      <c r="A90">
        <f>A89+'Inputs &amp; Outputs'!$B$6</f>
        <v>2.2116812281272158</v>
      </c>
      <c r="B90">
        <f>B89+C90*'Inputs &amp; Outputs'!$B$6</f>
        <v>8.0364194671159694</v>
      </c>
      <c r="C90">
        <f>C89+D89*'Inputs &amp; Outputs'!$B$6</f>
        <v>0.92210972865576291</v>
      </c>
      <c r="D90">
        <f>(-'Inputs &amp; Outputs'!$B$4*B90)/'Inputs &amp; Outputs'!$B$5</f>
        <v>-2.0091048667789924</v>
      </c>
      <c r="E90">
        <f>1/2*'Inputs &amp; Outputs'!$B$5*'Iterative Steps'!C90^2</f>
        <v>8.5028635168160474</v>
      </c>
      <c r="F90">
        <f>1/2*'Inputs &amp; Outputs'!$B$4*'Iterative Steps'!B90^2</f>
        <v>161.46009462860133</v>
      </c>
      <c r="G90">
        <f t="shared" si="2"/>
        <v>169.96295814541736</v>
      </c>
    </row>
    <row r="91" spans="1:7" x14ac:dyDescent="0.2">
      <c r="A91">
        <f>A90+'Inputs &amp; Outputs'!$B$6</f>
        <v>2.2368139693559344</v>
      </c>
      <c r="B91">
        <f>B90+C91*'Inputs &amp; Outputs'!$B$6</f>
        <v>8.0583255518156918</v>
      </c>
      <c r="C91">
        <f>C90+D90*'Inputs &amp; Outputs'!$B$6</f>
        <v>0.8716154159376478</v>
      </c>
      <c r="D91">
        <f>(-'Inputs &amp; Outputs'!$B$4*B91)/'Inputs &amp; Outputs'!$B$5</f>
        <v>-2.0145813879539229</v>
      </c>
      <c r="E91">
        <f>1/2*'Inputs &amp; Outputs'!$B$5*'Iterative Steps'!C91^2</f>
        <v>7.5971343330015877</v>
      </c>
      <c r="F91">
        <f>1/2*'Inputs &amp; Outputs'!$B$4*'Iterative Steps'!B91^2</f>
        <v>162.34152674761418</v>
      </c>
      <c r="G91">
        <f t="shared" si="2"/>
        <v>169.93866108061576</v>
      </c>
    </row>
    <row r="92" spans="1:7" x14ac:dyDescent="0.2">
      <c r="A92">
        <f>A91+'Inputs &amp; Outputs'!$B$6</f>
        <v>2.2619467105846529</v>
      </c>
      <c r="B92">
        <f>B91+C92*'Inputs &amp; Outputs'!$B$6</f>
        <v>8.0789591167501094</v>
      </c>
      <c r="C92">
        <f>C91+D91*'Inputs &amp; Outputs'!$B$6</f>
        <v>0.82098346323000959</v>
      </c>
      <c r="D92">
        <f>(-'Inputs &amp; Outputs'!$B$4*B92)/'Inputs &amp; Outputs'!$B$5</f>
        <v>-2.0197397791875273</v>
      </c>
      <c r="E92">
        <f>1/2*'Inputs &amp; Outputs'!$B$5*'Iterative Steps'!C92^2</f>
        <v>6.7401384689714048</v>
      </c>
      <c r="F92">
        <f>1/2*'Inputs &amp; Outputs'!$B$4*'Iterative Steps'!B92^2</f>
        <v>163.17395102529926</v>
      </c>
      <c r="G92">
        <f t="shared" si="2"/>
        <v>169.91408949427066</v>
      </c>
    </row>
    <row r="93" spans="1:7" x14ac:dyDescent="0.2">
      <c r="A93">
        <f>A92+'Inputs &amp; Outputs'!$B$6</f>
        <v>2.2870794518133715</v>
      </c>
      <c r="B93">
        <f>B92+C93*'Inputs &amp; Outputs'!$B$6</f>
        <v>8.0983169035972473</v>
      </c>
      <c r="C93">
        <f>C92+D92*'Inputs &amp; Outputs'!$B$6</f>
        <v>0.77022186601034071</v>
      </c>
      <c r="D93">
        <f>(-'Inputs &amp; Outputs'!$B$4*B93)/'Inputs &amp; Outputs'!$B$5</f>
        <v>-2.0245792258993118</v>
      </c>
      <c r="E93">
        <f>1/2*'Inputs &amp; Outputs'!$B$5*'Iterative Steps'!C93^2</f>
        <v>5.9324172288045123</v>
      </c>
      <c r="F93">
        <f>1/2*'Inputs &amp; Outputs'!$B$4*'Iterative Steps'!B93^2</f>
        <v>163.95684167772228</v>
      </c>
      <c r="G93">
        <f t="shared" si="2"/>
        <v>169.88925890652681</v>
      </c>
    </row>
    <row r="94" spans="1:7" x14ac:dyDescent="0.2">
      <c r="A94">
        <f>A93+'Inputs &amp; Outputs'!$B$6</f>
        <v>2.31221219304209</v>
      </c>
      <c r="B94">
        <f>B93+C94*'Inputs &amp; Outputs'!$B$6</f>
        <v>8.1163958554979345</v>
      </c>
      <c r="C94">
        <f>C93+D93*'Inputs &amp; Outputs'!$B$6</f>
        <v>0.71933864022877436</v>
      </c>
      <c r="D94">
        <f>(-'Inputs &amp; Outputs'!$B$4*B94)/'Inputs &amp; Outputs'!$B$5</f>
        <v>-2.0290989638744836</v>
      </c>
      <c r="E94">
        <f>1/2*'Inputs &amp; Outputs'!$B$5*'Iterative Steps'!C94^2</f>
        <v>5.1744807932618206</v>
      </c>
      <c r="F94">
        <f>1/2*'Inputs &amp; Outputs'!$B$4*'Iterative Steps'!B94^2</f>
        <v>164.6897042078601</v>
      </c>
      <c r="G94">
        <f t="shared" si="2"/>
        <v>169.86418500112191</v>
      </c>
    </row>
    <row r="95" spans="1:7" x14ac:dyDescent="0.2">
      <c r="A95">
        <f>A94+'Inputs &amp; Outputs'!$B$6</f>
        <v>2.3373449342708086</v>
      </c>
      <c r="B95">
        <f>B94+C95*'Inputs &amp; Outputs'!$B$6</f>
        <v>8.1331931175385197</v>
      </c>
      <c r="C95">
        <f>C94+D94*'Inputs &amp; Outputs'!$B$6</f>
        <v>0.66834182104225648</v>
      </c>
      <c r="D95">
        <f>(-'Inputs &amp; Outputs'!$B$4*B95)/'Inputs &amp; Outputs'!$B$5</f>
        <v>-2.0332982793846299</v>
      </c>
      <c r="E95">
        <f>1/2*'Inputs &amp; Outputs'!$B$5*'Iterative Steps'!C95^2</f>
        <v>4.4668078975407957</v>
      </c>
      <c r="F95">
        <f>1/2*'Inputs &amp; Outputs'!$B$4*'Iterative Steps'!B95^2</f>
        <v>165.37207571793985</v>
      </c>
      <c r="G95">
        <f t="shared" si="2"/>
        <v>169.83888361548065</v>
      </c>
    </row>
    <row r="96" spans="1:7" x14ac:dyDescent="0.2">
      <c r="A96">
        <f>A95+'Inputs &amp; Outputs'!$B$6</f>
        <v>2.3624776754995271</v>
      </c>
      <c r="B96">
        <f>B95+C96*'Inputs &amp; Outputs'!$B$6</f>
        <v>8.1487060372017002</v>
      </c>
      <c r="C96">
        <f>C95+D95*'Inputs &amp; Outputs'!$B$6</f>
        <v>0.61723946154568432</v>
      </c>
      <c r="D96">
        <f>(-'Inputs &amp; Outputs'!$B$4*B96)/'Inputs &amp; Outputs'!$B$5</f>
        <v>-2.037176509300425</v>
      </c>
      <c r="E96">
        <f>1/2*'Inputs &amp; Outputs'!$B$5*'Iterative Steps'!C96^2</f>
        <v>3.8098455288920627</v>
      </c>
      <c r="F96">
        <f>1/2*'Inputs &amp; Outputs'!$B$4*'Iterative Steps'!B96^2</f>
        <v>166.00352520181858</v>
      </c>
      <c r="G96">
        <f t="shared" si="2"/>
        <v>169.81337073071063</v>
      </c>
    </row>
    <row r="97" spans="1:7" x14ac:dyDescent="0.2">
      <c r="A97">
        <f>A96+'Inputs &amp; Outputs'!$B$6</f>
        <v>2.3876104167282457</v>
      </c>
      <c r="B97">
        <f>B96+C97*'Inputs &amp; Outputs'!$B$6</f>
        <v>8.1629321647853939</v>
      </c>
      <c r="C97">
        <f>C96+D96*'Inputs &amp; Outputs'!$B$6</f>
        <v>0.56603963150021297</v>
      </c>
      <c r="D97">
        <f>(-'Inputs &amp; Outputs'!$B$4*B97)/'Inputs &amp; Outputs'!$B$5</f>
        <v>-2.0407330411963485</v>
      </c>
      <c r="E97">
        <f>1/2*'Inputs &amp; Outputs'!$B$5*'Iterative Steps'!C97^2</f>
        <v>3.2040086442889688</v>
      </c>
      <c r="F97">
        <f>1/2*'Inputs &amp; Outputs'!$B$4*'Iterative Steps'!B97^2</f>
        <v>166.5836538172199</v>
      </c>
      <c r="G97">
        <f t="shared" si="2"/>
        <v>169.78766246150886</v>
      </c>
    </row>
    <row r="98" spans="1:7" x14ac:dyDescent="0.2">
      <c r="A98">
        <f>A97+'Inputs &amp; Outputs'!$B$6</f>
        <v>2.4127431579569643</v>
      </c>
      <c r="B98">
        <f>B97+C98*'Inputs &amp; Outputs'!$B$6</f>
        <v>8.1758692537895783</v>
      </c>
      <c r="C98">
        <f>C97+D97*'Inputs &amp; Outputs'!$B$6</f>
        <v>0.51475041605892968</v>
      </c>
      <c r="D98">
        <f>(-'Inputs &amp; Outputs'!$B$4*B98)/'Inputs &amp; Outputs'!$B$5</f>
        <v>-2.0439673134473946</v>
      </c>
      <c r="E98">
        <f>1/2*'Inputs &amp; Outputs'!$B$5*'Iterative Steps'!C98^2</f>
        <v>2.6496799083284124</v>
      </c>
      <c r="F98">
        <f>1/2*'Inputs &amp; Outputs'!$B$4*'Iterative Steps'!B98^2</f>
        <v>167.11209513765439</v>
      </c>
      <c r="G98">
        <f t="shared" si="2"/>
        <v>169.7617750459828</v>
      </c>
    </row>
    <row r="99" spans="1:7" x14ac:dyDescent="0.2">
      <c r="A99">
        <f>A98+'Inputs &amp; Outputs'!$B$6</f>
        <v>2.4378758991856828</v>
      </c>
      <c r="B99">
        <f>B98+C99*'Inputs &amp; Outputs'!$B$6</f>
        <v>8.1875152612710433</v>
      </c>
      <c r="C99">
        <f>C98+D98*'Inputs &amp; Outputs'!$B$6</f>
        <v>0.46337991449009769</v>
      </c>
      <c r="D99">
        <f>(-'Inputs &amp; Outputs'!$B$4*B99)/'Inputs &amp; Outputs'!$B$5</f>
        <v>-2.0468788153177608</v>
      </c>
      <c r="E99">
        <f>1/2*'Inputs &amp; Outputs'!$B$5*'Iterative Steps'!C99^2</f>
        <v>2.1472094515285027</v>
      </c>
      <c r="F99">
        <f>1/2*'Inputs &amp; Outputs'!$B$4*'Iterative Steps'!B99^2</f>
        <v>167.58851538386563</v>
      </c>
      <c r="G99">
        <f t="shared" si="2"/>
        <v>169.73572483539414</v>
      </c>
    </row>
    <row r="100" spans="1:7" x14ac:dyDescent="0.2">
      <c r="A100">
        <f>A99+'Inputs &amp; Outputs'!$B$6</f>
        <v>2.4630086404144014</v>
      </c>
      <c r="B100">
        <f>B99+C100*'Inputs &amp; Outputs'!$B$6</f>
        <v>8.1978683481660024</v>
      </c>
      <c r="C100">
        <f>C99+D99*'Inputs &amp; Outputs'!$B$6</f>
        <v>0.41193623889817083</v>
      </c>
      <c r="D100">
        <f>(-'Inputs &amp; Outputs'!$B$4*B100)/'Inputs &amp; Outputs'!$B$5</f>
        <v>-2.0494670870415006</v>
      </c>
      <c r="E100">
        <f>1/2*'Inputs &amp; Outputs'!$B$5*'Iterative Steps'!C100^2</f>
        <v>1.6969146491757088</v>
      </c>
      <c r="F100">
        <f>1/2*'Inputs &amp; Outputs'!$B$4*'Iterative Steps'!B100^2</f>
        <v>168.01261363465497</v>
      </c>
      <c r="G100">
        <f t="shared" si="2"/>
        <v>169.70952828383068</v>
      </c>
    </row>
    <row r="101" spans="1:7" x14ac:dyDescent="0.2">
      <c r="A101">
        <f>A100+'Inputs &amp; Outputs'!$B$6</f>
        <v>2.4881413816431199</v>
      </c>
      <c r="B101">
        <f>B100+C101*'Inputs &amp; Outputs'!$B$6</f>
        <v>8.2069268795805037</v>
      </c>
      <c r="C101">
        <f>C100+D100*'Inputs &amp; Outputs'!$B$6</f>
        <v>0.36042751294278164</v>
      </c>
      <c r="D101">
        <f>(-'Inputs &amp; Outputs'!$B$4*B101)/'Inputs &amp; Outputs'!$B$5</f>
        <v>-2.0517317198951259</v>
      </c>
      <c r="E101">
        <f>1/2*'Inputs &amp; Outputs'!$B$5*'Iterative Steps'!C101^2</f>
        <v>1.2990799208611903</v>
      </c>
      <c r="F101">
        <f>1/2*'Inputs &amp; Outputs'!$B$4*'Iterative Steps'!B101^2</f>
        <v>168.38412201695246</v>
      </c>
      <c r="G101">
        <f t="shared" si="2"/>
        <v>169.68320193781366</v>
      </c>
    </row>
    <row r="102" spans="1:7" x14ac:dyDescent="0.2">
      <c r="A102">
        <f>A101+'Inputs &amp; Outputs'!$B$6</f>
        <v>2.5132741228718385</v>
      </c>
      <c r="B102">
        <f>B101+C102*'Inputs &amp; Outputs'!$B$6</f>
        <v>8.2146894250486024</v>
      </c>
      <c r="C102">
        <f>C101+D101*'Inputs &amp; Outputs'!$B$6</f>
        <v>0.30886187055590419</v>
      </c>
      <c r="D102">
        <f>(-'Inputs &amp; Outputs'!$B$4*B102)/'Inputs &amp; Outputs'!$B$5</f>
        <v>-2.0536723562621506</v>
      </c>
      <c r="E102">
        <f>1/2*'Inputs &amp; Outputs'!$B$5*'Iterative Steps'!C102^2</f>
        <v>0.95395655083292119</v>
      </c>
      <c r="F102">
        <f>1/2*'Inputs &amp; Outputs'!$B$4*'Iterative Steps'!B102^2</f>
        <v>168.70280587501333</v>
      </c>
      <c r="G102">
        <f t="shared" si="2"/>
        <v>169.65676242584624</v>
      </c>
    </row>
    <row r="103" spans="1:7" x14ac:dyDescent="0.2">
      <c r="A103">
        <f>A102+'Inputs &amp; Outputs'!$B$6</f>
        <v>2.538406864100557</v>
      </c>
      <c r="B103">
        <f>B102+C103*'Inputs &amp; Outputs'!$B$6</f>
        <v>8.221154758758253</v>
      </c>
      <c r="C103">
        <f>C102+D102*'Inputs &amp; Outputs'!$B$6</f>
        <v>0.25724745465739529</v>
      </c>
      <c r="D103">
        <f>(-'Inputs &amp; Outputs'!$B$4*B103)/'Inputs &amp; Outputs'!$B$5</f>
        <v>-2.0552886896895632</v>
      </c>
      <c r="E103">
        <f>1/2*'Inputs &amp; Outputs'!$B$5*'Iterative Steps'!C103^2</f>
        <v>0.66176252927708656</v>
      </c>
      <c r="F103">
        <f>1/2*'Inputs &amp; Outputs'!$B$4*'Iterative Steps'!B103^2</f>
        <v>168.96846391863366</v>
      </c>
      <c r="G103">
        <f t="shared" si="2"/>
        <v>169.63022644791076</v>
      </c>
    </row>
    <row r="104" spans="1:7" x14ac:dyDescent="0.2">
      <c r="A104">
        <f>A103+'Inputs &amp; Outputs'!$B$6</f>
        <v>2.5635396053292756</v>
      </c>
      <c r="B104">
        <f>B103+C104*'Inputs &amp; Outputs'!$B$6</f>
        <v>8.2263218597448784</v>
      </c>
      <c r="C104">
        <f>C103+D103*'Inputs &amp; Outputs'!$B$6</f>
        <v>0.20559241586911589</v>
      </c>
      <c r="D104">
        <f>(-'Inputs &amp; Outputs'!$B$4*B104)/'Inputs &amp; Outputs'!$B$5</f>
        <v>-2.0565804649362196</v>
      </c>
      <c r="E104">
        <f>1/2*'Inputs &amp; Outputs'!$B$5*'Iterative Steps'!C104^2</f>
        <v>0.42268241462899492</v>
      </c>
      <c r="F104">
        <f>1/2*'Inputs &amp; Outputs'!$B$4*'Iterative Steps'!B104^2</f>
        <v>169.18092835029111</v>
      </c>
      <c r="G104">
        <f t="shared" si="2"/>
        <v>169.60361076492012</v>
      </c>
    </row>
    <row r="105" spans="1:7" x14ac:dyDescent="0.2">
      <c r="A105">
        <f>A104+'Inputs &amp; Outputs'!$B$6</f>
        <v>2.5886723465579942</v>
      </c>
      <c r="B105">
        <f>B104+C105*'Inputs &amp; Outputs'!$B$6</f>
        <v>8.2301899120525963</v>
      </c>
      <c r="C105">
        <f>C104+D104*'Inputs &amp; Outputs'!$B$6</f>
        <v>0.15390491122783662</v>
      </c>
      <c r="D105">
        <f>(-'Inputs &amp; Outputs'!$B$4*B105)/'Inputs &amp; Outputs'!$B$5</f>
        <v>-2.0575474780131491</v>
      </c>
      <c r="E105">
        <f>1/2*'Inputs &amp; Outputs'!$B$5*'Iterative Steps'!C105^2</f>
        <v>0.23686721700048269</v>
      </c>
      <c r="F105">
        <f>1/2*'Inputs &amp; Outputs'!$B$4*'Iterative Steps'!B105^2</f>
        <v>169.3400649711308</v>
      </c>
      <c r="G105">
        <f t="shared" si="2"/>
        <v>169.57693218813128</v>
      </c>
    </row>
    <row r="106" spans="1:7" x14ac:dyDescent="0.2">
      <c r="A106">
        <f>A105+'Inputs &amp; Outputs'!$B$6</f>
        <v>2.6138050877867127</v>
      </c>
      <c r="B106">
        <f>B105+C106*'Inputs &amp; Outputs'!$B$6</f>
        <v>8.2327583048630704</v>
      </c>
      <c r="C106">
        <f>C105+D105*'Inputs &amp; Outputs'!$B$6</f>
        <v>0.10219310289713009</v>
      </c>
      <c r="D106">
        <f>(-'Inputs &amp; Outputs'!$B$4*B106)/'Inputs &amp; Outputs'!$B$5</f>
        <v>-2.0581895762157676</v>
      </c>
      <c r="E106">
        <f>1/2*'Inputs &amp; Outputs'!$B$5*'Iterative Steps'!C106^2</f>
        <v>0.10443430279743418</v>
      </c>
      <c r="F106">
        <f>1/2*'Inputs &amp; Outputs'!$B$4*'Iterative Steps'!B106^2</f>
        <v>169.44577326572966</v>
      </c>
      <c r="G106">
        <f t="shared" si="2"/>
        <v>169.5502075685271</v>
      </c>
    </row>
    <row r="107" spans="1:7" x14ac:dyDescent="0.2">
      <c r="A107">
        <f>A106+'Inputs &amp; Outputs'!$B$6</f>
        <v>2.6389378290154313</v>
      </c>
      <c r="B107">
        <f>B106+C107*'Inputs &amp; Outputs'!$B$6</f>
        <v>8.2340266325919629</v>
      </c>
      <c r="C107">
        <f>C106+D106*'Inputs &amp; Outputs'!$B$6</f>
        <v>5.0465156878453724E-2</v>
      </c>
      <c r="D107">
        <f>(-'Inputs &amp; Outputs'!$B$4*B107)/'Inputs &amp; Outputs'!$B$5</f>
        <v>-2.0585066581479907</v>
      </c>
      <c r="E107">
        <f>1/2*'Inputs &amp; Outputs'!$B$5*'Iterative Steps'!C107^2</f>
        <v>2.5467320587669453E-2</v>
      </c>
      <c r="F107">
        <f>1/2*'Inputs &amp; Outputs'!$B$4*'Iterative Steps'!B107^2</f>
        <v>169.49798646558435</v>
      </c>
      <c r="G107">
        <f t="shared" si="2"/>
        <v>169.52345378617201</v>
      </c>
    </row>
    <row r="108" spans="1:7" x14ac:dyDescent="0.2">
      <c r="A108">
        <f>A107+'Inputs &amp; Outputs'!$B$6</f>
        <v>2.6640705702441498</v>
      </c>
      <c r="B108">
        <f>B107+C108*'Inputs &amp; Outputs'!$B$6</f>
        <v>8.2339946949529885</v>
      </c>
      <c r="C108">
        <f>C107+D107*'Inputs &amp; Outputs'!$B$6</f>
        <v>-1.2707582783735086E-3</v>
      </c>
      <c r="D108">
        <f>(-'Inputs &amp; Outputs'!$B$4*B108)/'Inputs &amp; Outputs'!$B$5</f>
        <v>-2.0584986737382471</v>
      </c>
      <c r="E108">
        <f>1/2*'Inputs &amp; Outputs'!$B$5*'Iterative Steps'!C108^2</f>
        <v>1.6148266020548036E-5</v>
      </c>
      <c r="F108">
        <f>1/2*'Inputs &amp; Outputs'!$B$4*'Iterative Steps'!B108^2</f>
        <v>169.49667159128489</v>
      </c>
      <c r="G108">
        <f t="shared" si="2"/>
        <v>169.49668773955091</v>
      </c>
    </row>
    <row r="109" spans="1:7" x14ac:dyDescent="0.2">
      <c r="A109">
        <f>A108+'Inputs &amp; Outputs'!$B$6</f>
        <v>2.6892033114728684</v>
      </c>
      <c r="B109">
        <f>B108+C109*'Inputs &amp; Outputs'!$B$6</f>
        <v>8.232662496989537</v>
      </c>
      <c r="C109">
        <f>C108+D108*'Inputs &amp; Outputs'!$B$6</f>
        <v>-5.300647276509679E-2</v>
      </c>
      <c r="D109">
        <f>(-'Inputs &amp; Outputs'!$B$4*B109)/'Inputs &amp; Outputs'!$B$5</f>
        <v>-2.0581656242473843</v>
      </c>
      <c r="E109">
        <f>1/2*'Inputs &amp; Outputs'!$B$5*'Iterative Steps'!C109^2</f>
        <v>2.8096861549969477E-2</v>
      </c>
      <c r="F109">
        <f>1/2*'Inputs &amp; Outputs'!$B$4*'Iterative Steps'!B109^2</f>
        <v>169.441829473345</v>
      </c>
      <c r="G109">
        <f t="shared" si="2"/>
        <v>169.46992633489498</v>
      </c>
    </row>
    <row r="110" spans="1:7" x14ac:dyDescent="0.2">
      <c r="A110">
        <f>A109+'Inputs &amp; Outputs'!$B$6</f>
        <v>2.714336052701587</v>
      </c>
      <c r="B110">
        <f>B109+C110*'Inputs &amp; Outputs'!$B$6</f>
        <v>8.2300302490738773</v>
      </c>
      <c r="C110">
        <f>C109+D109*'Inputs &amp; Outputs'!$B$6</f>
        <v>-0.10473381680514986</v>
      </c>
      <c r="D110">
        <f>(-'Inputs &amp; Outputs'!$B$4*B110)/'Inputs &amp; Outputs'!$B$5</f>
        <v>-2.0575075622684693</v>
      </c>
      <c r="E110">
        <f>1/2*'Inputs &amp; Outputs'!$B$5*'Iterative Steps'!C110^2</f>
        <v>0.10969172382574691</v>
      </c>
      <c r="F110">
        <f>1/2*'Inputs &amp; Outputs'!$B$4*'Iterative Steps'!B110^2</f>
        <v>169.33349475167756</v>
      </c>
      <c r="G110">
        <f t="shared" si="2"/>
        <v>169.4431864755033</v>
      </c>
    </row>
    <row r="111" spans="1:7" x14ac:dyDescent="0.2">
      <c r="A111">
        <f>A110+'Inputs &amp; Outputs'!$B$6</f>
        <v>2.7394687939303055</v>
      </c>
      <c r="B111">
        <f>B110+C111*'Inputs &amp; Outputs'!$B$6</f>
        <v>8.2260983668739396</v>
      </c>
      <c r="C111">
        <f>C110+D110*'Inputs &amp; Outputs'!$B$6</f>
        <v>-0.1564446219437744</v>
      </c>
      <c r="D111">
        <f>(-'Inputs &amp; Outputs'!$B$4*B111)/'Inputs &amp; Outputs'!$B$5</f>
        <v>-2.0565245917184849</v>
      </c>
      <c r="E111">
        <f>1/2*'Inputs &amp; Outputs'!$B$5*'Iterative Steps'!C111^2</f>
        <v>0.24474919735130499</v>
      </c>
      <c r="F111">
        <f>1/2*'Inputs &amp; Outputs'!$B$4*'Iterative Steps'!B111^2</f>
        <v>169.17173585371526</v>
      </c>
      <c r="G111">
        <f t="shared" si="2"/>
        <v>169.41648505106656</v>
      </c>
    </row>
    <row r="112" spans="1:7" x14ac:dyDescent="0.2">
      <c r="A112">
        <f>A111+'Inputs &amp; Outputs'!$B$6</f>
        <v>2.7646015351590241</v>
      </c>
      <c r="B112">
        <f>B111+C112*'Inputs &amp; Outputs'!$B$6</f>
        <v>8.2208674712876739</v>
      </c>
      <c r="C112">
        <f>C111+D111*'Inputs &amp; Outputs'!$B$6</f>
        <v>-0.20813072233793073</v>
      </c>
      <c r="D112">
        <f>(-'Inputs &amp; Outputs'!$B$4*B112)/'Inputs &amp; Outputs'!$B$5</f>
        <v>-2.0552168678219185</v>
      </c>
      <c r="E112">
        <f>1/2*'Inputs &amp; Outputs'!$B$5*'Iterative Steps'!C112^2</f>
        <v>0.43318397580908818</v>
      </c>
      <c r="F112">
        <f>1/2*'Inputs &amp; Outputs'!$B$4*'Iterative Steps'!B112^2</f>
        <v>168.95665495118948</v>
      </c>
      <c r="G112">
        <f t="shared" si="2"/>
        <v>169.38983892699858</v>
      </c>
    </row>
    <row r="113" spans="1:7" x14ac:dyDescent="0.2">
      <c r="A113">
        <f>A112+'Inputs &amp; Outputs'!$B$6</f>
        <v>2.7897342763877426</v>
      </c>
      <c r="B113">
        <f>B112+C113*'Inputs &amp; Outputs'!$B$6</f>
        <v>8.2143383883450021</v>
      </c>
      <c r="C113">
        <f>C112+D112*'Inputs &amp; Outputs'!$B$6</f>
        <v>-0.25978395604579607</v>
      </c>
      <c r="D113">
        <f>(-'Inputs &amp; Outputs'!$B$4*B113)/'Inputs &amp; Outputs'!$B$5</f>
        <v>-2.0535845970862505</v>
      </c>
      <c r="E113">
        <f>1/2*'Inputs &amp; Outputs'!$B$5*'Iterative Steps'!C113^2</f>
        <v>0.67487703818804101</v>
      </c>
      <c r="F113">
        <f>1/2*'Inputs &amp; Outputs'!$B$4*'Iterative Steps'!B113^2</f>
        <v>168.68838789559592</v>
      </c>
      <c r="G113">
        <f t="shared" si="2"/>
        <v>169.36326493378397</v>
      </c>
    </row>
    <row r="114" spans="1:7" x14ac:dyDescent="0.2">
      <c r="A114">
        <f>A113+'Inputs &amp; Outputs'!$B$6</f>
        <v>2.8148670176164612</v>
      </c>
      <c r="B114">
        <f>B113+C114*'Inputs &amp; Outputs'!$B$6</f>
        <v>8.2065121490773763</v>
      </c>
      <c r="C114">
        <f>C113+D113*'Inputs &amp; Outputs'!$B$6</f>
        <v>-0.31139616631564665</v>
      </c>
      <c r="D114">
        <f>(-'Inputs &amp; Outputs'!$B$4*B114)/'Inputs &amp; Outputs'!$B$5</f>
        <v>-2.0516280372693441</v>
      </c>
      <c r="E114">
        <f>1/2*'Inputs &amp; Outputs'!$B$5*'Iterative Steps'!C114^2</f>
        <v>0.96967572396081869</v>
      </c>
      <c r="F114">
        <f>1/2*'Inputs &amp; Outputs'!$B$4*'Iterative Steps'!B114^2</f>
        <v>168.36710413238646</v>
      </c>
      <c r="G114">
        <f t="shared" si="2"/>
        <v>169.33677985634728</v>
      </c>
    </row>
    <row r="115" spans="1:7" x14ac:dyDescent="0.2">
      <c r="A115">
        <f>A114+'Inputs &amp; Outputs'!$B$6</f>
        <v>2.8399997588451797</v>
      </c>
      <c r="B115">
        <f>B114+C115*'Inputs &amp; Outputs'!$B$6</f>
        <v>8.1973899893549635</v>
      </c>
      <c r="C115">
        <f>C114+D114*'Inputs &amp; Outputs'!$B$6</f>
        <v>-0.36295920287392042</v>
      </c>
      <c r="D115">
        <f>(-'Inputs &amp; Outputs'!$B$4*B115)/'Inputs &amp; Outputs'!$B$5</f>
        <v>-2.0493474973387409</v>
      </c>
      <c r="E115">
        <f>1/2*'Inputs &amp; Outputs'!$B$5*'Iterative Steps'!C115^2</f>
        <v>1.3173938295087173</v>
      </c>
      <c r="F115">
        <f>1/2*'Inputs &amp; Outputs'!$B$4*'Iterative Steps'!B115^2</f>
        <v>167.99300659394243</v>
      </c>
      <c r="G115">
        <f t="shared" si="2"/>
        <v>169.31040042345114</v>
      </c>
    </row>
    <row r="116" spans="1:7" x14ac:dyDescent="0.2">
      <c r="A116">
        <f>A115+'Inputs &amp; Outputs'!$B$6</f>
        <v>2.8651325000738983</v>
      </c>
      <c r="B116">
        <f>B115+C116*'Inputs &amp; Outputs'!$B$6</f>
        <v>8.18697334969149</v>
      </c>
      <c r="C116">
        <f>C115+D115*'Inputs &amp; Outputs'!$B$6</f>
        <v>-0.41446492321225653</v>
      </c>
      <c r="D116">
        <f>(-'Inputs &amp; Outputs'!$B$4*B116)/'Inputs &amp; Outputs'!$B$5</f>
        <v>-2.0467433374228725</v>
      </c>
      <c r="E116">
        <f>1/2*'Inputs &amp; Outputs'!$B$5*'Iterative Steps'!C116^2</f>
        <v>1.7178117257334169</v>
      </c>
      <c r="F116">
        <f>1/2*'Inputs &amp; Outputs'!$B$4*'Iterative Steps'!B116^2</f>
        <v>167.56633157139674</v>
      </c>
      <c r="G116">
        <f t="shared" si="2"/>
        <v>169.28414329713016</v>
      </c>
    </row>
    <row r="117" spans="1:7" x14ac:dyDescent="0.2">
      <c r="A117">
        <f>A116+'Inputs &amp; Outputs'!$B$6</f>
        <v>2.8902652413026169</v>
      </c>
      <c r="B117">
        <f>B116+C117*'Inputs &amp; Outputs'!$B$6</f>
        <v>8.175263875016757</v>
      </c>
      <c r="C117">
        <f>C116+D116*'Inputs &amp; Outputs'!$B$6</f>
        <v>-0.46590519387330898</v>
      </c>
      <c r="D117">
        <f>(-'Inputs &amp; Outputs'!$B$4*B117)/'Inputs &amp; Outputs'!$B$5</f>
        <v>-2.0438159687541892</v>
      </c>
      <c r="E117">
        <f>1/2*'Inputs &amp; Outputs'!$B$5*'Iterative Steps'!C117^2</f>
        <v>2.170676496781256</v>
      </c>
      <c r="F117">
        <f>1/2*'Inputs &amp; Outputs'!$B$4*'Iterative Steps'!B117^2</f>
        <v>167.08734856538501</v>
      </c>
      <c r="G117">
        <f t="shared" si="2"/>
        <v>169.25802506216627</v>
      </c>
    </row>
    <row r="118" spans="1:7" x14ac:dyDescent="0.2">
      <c r="A118">
        <f>A117+'Inputs &amp; Outputs'!$B$6</f>
        <v>2.9153979825313354</v>
      </c>
      <c r="B118">
        <f>B117+C118*'Inputs &amp; Outputs'!$B$6</f>
        <v>8.1622634144168877</v>
      </c>
      <c r="C118">
        <f>C117+D117*'Inputs &amp; Outputs'!$B$6</f>
        <v>-0.51727189173513033</v>
      </c>
      <c r="D118">
        <f>(-'Inputs &amp; Outputs'!$B$4*B118)/'Inputs &amp; Outputs'!$B$5</f>
        <v>-2.0405658536042219</v>
      </c>
      <c r="E118">
        <f>1/2*'Inputs &amp; Outputs'!$B$5*'Iterative Steps'!C118^2</f>
        <v>2.6757020997924039</v>
      </c>
      <c r="F118">
        <f>1/2*'Inputs &amp; Outputs'!$B$4*'Iterative Steps'!B118^2</f>
        <v>166.55636011582106</v>
      </c>
      <c r="G118">
        <f t="shared" si="2"/>
        <v>169.23206221561347</v>
      </c>
    </row>
    <row r="119" spans="1:7" x14ac:dyDescent="0.2">
      <c r="A119">
        <f>A118+'Inputs &amp; Outputs'!$B$6</f>
        <v>2.940530723760054</v>
      </c>
      <c r="B119">
        <f>B118+C119*'Inputs &amp; Outputs'!$B$6</f>
        <v>8.1479740208423355</v>
      </c>
      <c r="C119">
        <f>C118+D118*'Inputs &amp; Outputs'!$B$6</f>
        <v>-0.568556905293924</v>
      </c>
      <c r="D119">
        <f>(-'Inputs &amp; Outputs'!$B$4*B119)/'Inputs &amp; Outputs'!$B$5</f>
        <v>-2.0369935052105839</v>
      </c>
      <c r="E119">
        <f>1/2*'Inputs &amp; Outputs'!$B$5*'Iterative Steps'!C119^2</f>
        <v>3.2325695455740404</v>
      </c>
      <c r="F119">
        <f>1/2*'Inputs &amp; Outputs'!$B$4*'Iterative Steps'!B119^2</f>
        <v>165.97370161080403</v>
      </c>
      <c r="G119">
        <f t="shared" si="2"/>
        <v>169.20627115637808</v>
      </c>
    </row>
    <row r="120" spans="1:7" x14ac:dyDescent="0.2">
      <c r="A120">
        <f>A119+'Inputs &amp; Outputs'!$B$6</f>
        <v>2.9656634649887725</v>
      </c>
      <c r="B120">
        <f>B119+C120*'Inputs &amp; Outputs'!$B$6</f>
        <v>8.1323979507836857</v>
      </c>
      <c r="C120">
        <f>C119+D119*'Inputs &amp; Outputs'!$B$6</f>
        <v>-0.61975213594496159</v>
      </c>
      <c r="D120">
        <f>(-'Inputs &amp; Outputs'!$B$4*B120)/'Inputs &amp; Outputs'!$B$5</f>
        <v>-2.0330994876959214</v>
      </c>
      <c r="E120">
        <f>1/2*'Inputs &amp; Outputs'!$B$5*'Iterative Steps'!C120^2</f>
        <v>3.8409271000834218</v>
      </c>
      <c r="F120">
        <f>1/2*'Inputs &amp; Outputs'!$B$4*'Iterative Steps'!B120^2</f>
        <v>165.33974107477673</v>
      </c>
      <c r="G120">
        <f t="shared" si="2"/>
        <v>169.18066817486016</v>
      </c>
    </row>
    <row r="121" spans="1:7" x14ac:dyDescent="0.2">
      <c r="A121">
        <f>A120+'Inputs &amp; Outputs'!$B$6</f>
        <v>2.9907962062174911</v>
      </c>
      <c r="B121">
        <f>B120+C121*'Inputs &amp; Outputs'!$B$6</f>
        <v>8.1155376639153314</v>
      </c>
      <c r="C121">
        <f>C120+D120*'Inputs &amp; Outputs'!$B$6</f>
        <v>-0.67084949926146298</v>
      </c>
      <c r="D121">
        <f>(-'Inputs &amp; Outputs'!$B$4*B121)/'Inputs &amp; Outputs'!$B$5</f>
        <v>-2.0288844159788328</v>
      </c>
      <c r="E121">
        <f>1/2*'Inputs &amp; Outputs'!$B$5*'Iterative Steps'!C121^2</f>
        <v>4.5003905065935559</v>
      </c>
      <c r="F121">
        <f>1/2*'Inputs &amp; Outputs'!$B$4*'Iterative Steps'!B121^2</f>
        <v>164.65487893607079</v>
      </c>
      <c r="G121">
        <f t="shared" si="2"/>
        <v>169.15526944266435</v>
      </c>
    </row>
    <row r="122" spans="1:7" x14ac:dyDescent="0.2">
      <c r="A122">
        <f>A121+'Inputs &amp; Outputs'!$B$6</f>
        <v>3.0159289474462097</v>
      </c>
      <c r="B122">
        <f>B121+C122*'Inputs &amp; Outputs'!$B$6</f>
        <v>8.0973958227070586</v>
      </c>
      <c r="C122">
        <f>C121+D121*'Inputs &amp; Outputs'!$B$6</f>
        <v>-0.7218409262712383</v>
      </c>
      <c r="D122">
        <f>(-'Inputs &amp; Outputs'!$B$4*B122)/'Inputs &amp; Outputs'!$B$5</f>
        <v>-2.0243489556767646</v>
      </c>
      <c r="E122">
        <f>1/2*'Inputs &amp; Outputs'!$B$5*'Iterative Steps'!C122^2</f>
        <v>5.2105432284011934</v>
      </c>
      <c r="F122">
        <f>1/2*'Inputs &amp; Outputs'!$B$4*'Iterative Steps'!B122^2</f>
        <v>163.91954777398433</v>
      </c>
      <c r="G122">
        <f t="shared" si="2"/>
        <v>169.13009100238554</v>
      </c>
    </row>
    <row r="123" spans="1:7" x14ac:dyDescent="0.2">
      <c r="A123">
        <f>A122+'Inputs &amp; Outputs'!$B$6</f>
        <v>3.0410616886749282</v>
      </c>
      <c r="B123">
        <f>B122+C123*'Inputs &amp; Outputs'!$B$6</f>
        <v>8.0779752920035985</v>
      </c>
      <c r="C123">
        <f>C122+D122*'Inputs &amp; Outputs'!$B$6</f>
        <v>-0.77271836473088862</v>
      </c>
      <c r="D123">
        <f>(-'Inputs &amp; Outputs'!$B$4*B123)/'Inputs &amp; Outputs'!$B$5</f>
        <v>-2.0194938230008996</v>
      </c>
      <c r="E123">
        <f>1/2*'Inputs &amp; Outputs'!$B$5*'Iterative Steps'!C123^2</f>
        <v>5.9709367119237866</v>
      </c>
      <c r="F123">
        <f>1/2*'Inputs &amp; Outputs'!$B$4*'Iterative Steps'!B123^2</f>
        <v>163.13421204555155</v>
      </c>
      <c r="G123">
        <f t="shared" si="2"/>
        <v>169.10514875747535</v>
      </c>
    </row>
    <row r="124" spans="1:7" x14ac:dyDescent="0.2">
      <c r="A124">
        <f>A123+'Inputs &amp; Outputs'!$B$6</f>
        <v>3.0661944299036468</v>
      </c>
      <c r="B124">
        <f>B123+C124*'Inputs &amp; Outputs'!$B$6</f>
        <v>8.0572791385722375</v>
      </c>
      <c r="C124">
        <f>C123+D123*'Inputs &amp; Outputs'!$B$6</f>
        <v>-0.82347378039736541</v>
      </c>
      <c r="D124">
        <f>(-'Inputs &amp; Outputs'!$B$4*B124)/'Inputs &amp; Outputs'!$B$5</f>
        <v>-2.0143197846430594</v>
      </c>
      <c r="E124">
        <f>1/2*'Inputs &amp; Outputs'!$B$5*'Iterative Steps'!C124^2</f>
        <v>6.7810906700192843</v>
      </c>
      <c r="F124">
        <f>1/2*'Inputs &amp; Outputs'!$B$4*'Iterative Steps'!B124^2</f>
        <v>162.29936779217843</v>
      </c>
      <c r="G124">
        <f t="shared" si="2"/>
        <v>169.08045846219773</v>
      </c>
    </row>
    <row r="125" spans="1:7" x14ac:dyDescent="0.2">
      <c r="A125">
        <f>A124+'Inputs &amp; Outputs'!$B$6</f>
        <v>3.0913271711323653</v>
      </c>
      <c r="B125">
        <f>B124+C125*'Inputs &amp; Outputs'!$B$6</f>
        <v>8.0353106306185271</v>
      </c>
      <c r="C125">
        <f>C124+D124*'Inputs &amp; Outputs'!$B$6</f>
        <v>-0.87409915829668705</v>
      </c>
      <c r="D125">
        <f>(-'Inputs &amp; Outputs'!$B$4*B125)/'Inputs &amp; Outputs'!$B$5</f>
        <v>-2.0088276576546318</v>
      </c>
      <c r="E125">
        <f>1/2*'Inputs &amp; Outputs'!$B$5*'Iterative Steps'!C125^2</f>
        <v>7.6404933853497683</v>
      </c>
      <c r="F125">
        <f>1/2*'Inputs &amp; Outputs'!$B$4*'Iterative Steps'!B125^2</f>
        <v>161.4155423263278</v>
      </c>
      <c r="G125">
        <f t="shared" si="2"/>
        <v>169.05603571167757</v>
      </c>
    </row>
    <row r="126" spans="1:7" x14ac:dyDescent="0.2">
      <c r="A126">
        <f>A125+'Inputs &amp; Outputs'!$B$6</f>
        <v>3.1164599123610839</v>
      </c>
      <c r="B126">
        <f>B125+C126*'Inputs &amp; Outputs'!$B$6</f>
        <v>8.0120732372701902</v>
      </c>
      <c r="C126">
        <f>C125+D125*'Inputs &amp; Outputs'!$B$6</f>
        <v>-0.92458650398961328</v>
      </c>
      <c r="D126">
        <f>(-'Inputs &amp; Outputs'!$B$4*B126)/'Inputs &amp; Outputs'!$B$5</f>
        <v>-2.0030183093175475</v>
      </c>
      <c r="E126">
        <f>1/2*'Inputs &amp; Outputs'!$B$5*'Iterative Steps'!C126^2</f>
        <v>8.5486020335973514</v>
      </c>
      <c r="F126">
        <f>1/2*'Inputs &amp; Outputs'!$B$4*'Iterative Steps'!B126^2</f>
        <v>160.48329389845307</v>
      </c>
      <c r="G126">
        <f t="shared" si="2"/>
        <v>169.03189593205042</v>
      </c>
    </row>
    <row r="127" spans="1:7" x14ac:dyDescent="0.2">
      <c r="A127">
        <f>A126+'Inputs &amp; Outputs'!$B$6</f>
        <v>3.1415926535898024</v>
      </c>
      <c r="B127">
        <f>B126+C127*'Inputs &amp; Outputs'!$B$6</f>
        <v>7.9875706280293031</v>
      </c>
      <c r="C127">
        <f>C126+D126*'Inputs &amp; Outputs'!$B$6</f>
        <v>-0.97492784483407613</v>
      </c>
      <c r="D127">
        <f>(-'Inputs &amp; Outputs'!$B$4*B127)/'Inputs &amp; Outputs'!$B$5</f>
        <v>-1.9968926570073258</v>
      </c>
      <c r="E127">
        <f>1/2*'Inputs &amp; Outputs'!$B$5*'Iterative Steps'!C127^2</f>
        <v>9.5048430263281638</v>
      </c>
      <c r="F127">
        <f>1/2*'Inputs &amp; Outputs'!$B$4*'Iterative Steps'!B127^2</f>
        <v>159.5032113443911</v>
      </c>
      <c r="G127">
        <f t="shared" si="2"/>
        <v>169.00805437071926</v>
      </c>
    </row>
    <row r="128" spans="1:7" x14ac:dyDescent="0.2">
      <c r="A128">
        <f>A127+'Inputs &amp; Outputs'!$B$6</f>
        <v>3.166725394818521</v>
      </c>
      <c r="B128">
        <f>B127+C128*'Inputs &amp; Outputs'!$B$6</f>
        <v>7.961806672192826</v>
      </c>
      <c r="C128">
        <f>C127+D127*'Inputs &amp; Outputs'!$B$6</f>
        <v>-1.0251152312441691</v>
      </c>
      <c r="D128">
        <f>(-'Inputs &amp; Outputs'!$B$4*B128)/'Inputs &amp; Outputs'!$B$5</f>
        <v>-1.9904516680482065</v>
      </c>
      <c r="E128">
        <f>1/2*'Inputs &amp; Outputs'!$B$5*'Iterative Steps'!C128^2</f>
        <v>10.508612373287864</v>
      </c>
      <c r="F128">
        <f>1/2*'Inputs &amp; Outputs'!$B$4*'Iterative Steps'!B128^2</f>
        <v>158.47591371343552</v>
      </c>
      <c r="G128">
        <f t="shared" si="2"/>
        <v>168.98452608672338</v>
      </c>
    </row>
    <row r="129" spans="1:7" x14ac:dyDescent="0.2">
      <c r="A129">
        <f>A128+'Inputs &amp; Outputs'!$B$6</f>
        <v>3.1918581360472396</v>
      </c>
      <c r="B129">
        <f>B128+C129*'Inputs &amp; Outputs'!$B$6</f>
        <v>7.9347854382415886</v>
      </c>
      <c r="C129">
        <f>C128+D128*'Inputs &amp; Outputs'!$B$6</f>
        <v>-1.0751407379454956</v>
      </c>
      <c r="D129">
        <f>(-'Inputs &amp; Outputs'!$B$4*B129)/'Inputs &amp; Outputs'!$B$5</f>
        <v>-1.9836963595603971</v>
      </c>
      <c r="E129">
        <f>1/2*'Inputs &amp; Outputs'!$B$5*'Iterative Steps'!C129^2</f>
        <v>11.559276063899848</v>
      </c>
      <c r="F129">
        <f>1/2*'Inputs &amp; Outputs'!$B$4*'Iterative Steps'!B129^2</f>
        <v>157.40204987732687</v>
      </c>
      <c r="G129">
        <f t="shared" si="2"/>
        <v>168.96132594122673</v>
      </c>
    </row>
    <row r="130" spans="1:7" x14ac:dyDescent="0.2">
      <c r="A130">
        <f>A129+'Inputs &amp; Outputs'!$B$6</f>
        <v>3.2169908772759581</v>
      </c>
      <c r="B130">
        <f>B129+C130*'Inputs &amp; Outputs'!$B$6</f>
        <v>7.906511193197824</v>
      </c>
      <c r="C130">
        <f>C129+D129*'Inputs &amp; Outputs'!$B$6</f>
        <v>-1.1249964652266777</v>
      </c>
      <c r="D130">
        <f>(-'Inputs &amp; Outputs'!$B$4*B130)/'Inputs &amp; Outputs'!$B$5</f>
        <v>-1.976627798299456</v>
      </c>
      <c r="E130">
        <f>1/2*'Inputs &amp; Outputs'!$B$5*'Iterative Steps'!C130^2</f>
        <v>12.656170467725197</v>
      </c>
      <c r="F130">
        <f>1/2*'Inputs &amp; Outputs'!$B$4*'Iterative Steps'!B130^2</f>
        <v>156.28229812040618</v>
      </c>
      <c r="G130">
        <f t="shared" si="2"/>
        <v>168.93846858813137</v>
      </c>
    </row>
    <row r="131" spans="1:7" x14ac:dyDescent="0.2">
      <c r="A131">
        <f>A130+'Inputs &amp; Outputs'!$B$6</f>
        <v>3.2421236185046767</v>
      </c>
      <c r="B131">
        <f>B130+C131*'Inputs &amp; Outputs'!$B$6</f>
        <v>7.876988401951345</v>
      </c>
      <c r="C131">
        <f>C130+D130*'Inputs &amp; Outputs'!$B$6</f>
        <v>-1.1746745401868293</v>
      </c>
      <c r="D131">
        <f>(-'Inputs &amp; Outputs'!$B$4*B131)/'Inputs &amp; Outputs'!$B$5</f>
        <v>-1.9692471004878365</v>
      </c>
      <c r="E131">
        <f>1/2*'Inputs &amp; Outputs'!$B$5*'Iterative Steps'!C131^2</f>
        <v>13.798602753631389</v>
      </c>
      <c r="F131">
        <f>1/2*'Inputs &amp; Outputs'!$B$4*'Iterative Steps'!B131^2</f>
        <v>155.11736571118999</v>
      </c>
      <c r="G131">
        <f t="shared" ref="G131:G194" si="3">SUM(E131:F131)</f>
        <v>168.91596846482139</v>
      </c>
    </row>
    <row r="132" spans="1:7" x14ac:dyDescent="0.2">
      <c r="A132">
        <f>A131+'Inputs &amp; Outputs'!$B$6</f>
        <v>3.2672563597333952</v>
      </c>
      <c r="B132">
        <f>B131+C132*'Inputs &amp; Outputs'!$B$6</f>
        <v>7.8462217265544778</v>
      </c>
      <c r="C132">
        <f>C131+D131*'Inputs &amp; Outputs'!$B$6</f>
        <v>-1.2241671179787941</v>
      </c>
      <c r="D132">
        <f>(-'Inputs &amp; Outputs'!$B$4*B132)/'Inputs &amp; Outputs'!$B$5</f>
        <v>-1.9615554316386195</v>
      </c>
      <c r="E132">
        <f>1/2*'Inputs &amp; Outputs'!$B$5*'Iterative Steps'!C132^2</f>
        <v>14.985851327405067</v>
      </c>
      <c r="F132">
        <f>1/2*'Inputs &amp; Outputs'!$B$4*'Iterative Steps'!B132^2</f>
        <v>153.90798845563882</v>
      </c>
      <c r="G132">
        <f t="shared" si="3"/>
        <v>168.89383978304389</v>
      </c>
    </row>
    <row r="133" spans="1:7" x14ac:dyDescent="0.2">
      <c r="A133">
        <f>A132+'Inputs &amp; Outputs'!$B$6</f>
        <v>3.2923891009621138</v>
      </c>
      <c r="B133">
        <f>B132+C133*'Inputs &amp; Outputs'!$B$6</f>
        <v>7.8142160254858615</v>
      </c>
      <c r="C133">
        <f>C132+D132*'Inputs &amp; Outputs'!$B$6</f>
        <v>-1.2734663830479545</v>
      </c>
      <c r="D133">
        <f>(-'Inputs &amp; Outputs'!$B$4*B133)/'Inputs &amp; Outputs'!$B$5</f>
        <v>-1.9535540063714651</v>
      </c>
      <c r="E133">
        <f>1/2*'Inputs &amp; Outputs'!$B$5*'Iterative Steps'!C133^2</f>
        <v>16.217166287532393</v>
      </c>
      <c r="F133">
        <f>1/2*'Inputs &amp; Outputs'!$B$4*'Iterative Steps'!B133^2</f>
        <v>152.65493023240015</v>
      </c>
      <c r="G133">
        <f t="shared" si="3"/>
        <v>168.87209651993254</v>
      </c>
    </row>
    <row r="134" spans="1:7" x14ac:dyDescent="0.2">
      <c r="A134">
        <f>A133+'Inputs &amp; Outputs'!$B$6</f>
        <v>3.3175218421908323</v>
      </c>
      <c r="B134">
        <f>B133+C134*'Inputs &amp; Outputs'!$B$6</f>
        <v>7.7809763528832265</v>
      </c>
      <c r="C134">
        <f>C133+D133*'Inputs &amp; Outputs'!$B$6</f>
        <v>-1.3225645503664145</v>
      </c>
      <c r="D134">
        <f>(-'Inputs &amp; Outputs'!$B$4*B134)/'Inputs &amp; Outputs'!$B$5</f>
        <v>-1.9452440882208066</v>
      </c>
      <c r="E134">
        <f>1/2*'Inputs &amp; Outputs'!$B$5*'Iterative Steps'!C134^2</f>
        <v>17.491769898859161</v>
      </c>
      <c r="F134">
        <f>1/2*'Inputs &amp; Outputs'!$B$4*'Iterative Steps'!B134^2</f>
        <v>151.35898251031989</v>
      </c>
      <c r="G134">
        <f t="shared" si="3"/>
        <v>168.85075240917905</v>
      </c>
    </row>
    <row r="135" spans="1:7" x14ac:dyDescent="0.2">
      <c r="A135">
        <f>A134+'Inputs &amp; Outputs'!$B$6</f>
        <v>3.3426545834195509</v>
      </c>
      <c r="B135">
        <f>B134+C135*'Inputs &amp; Outputs'!$B$6</f>
        <v>7.7465079577452762</v>
      </c>
      <c r="C135">
        <f>C134+D134*'Inputs &amp; Outputs'!$B$6</f>
        <v>-1.3714538666623621</v>
      </c>
      <c r="D135">
        <f>(-'Inputs &amp; Outputs'!$B$4*B135)/'Inputs &amp; Outputs'!$B$5</f>
        <v>-1.9366269894363193</v>
      </c>
      <c r="E135">
        <f>1/2*'Inputs &amp; Outputs'!$B$5*'Iterative Steps'!C135^2</f>
        <v>18.808857083831441</v>
      </c>
      <c r="F135">
        <f>1/2*'Inputs &amp; Outputs'!$B$4*'Iterative Steps'!B135^2</f>
        <v>150.02096384852723</v>
      </c>
      <c r="G135">
        <f t="shared" si="3"/>
        <v>168.82982093235867</v>
      </c>
    </row>
    <row r="136" spans="1:7" x14ac:dyDescent="0.2">
      <c r="A136">
        <f>A135+'Inputs &amp; Outputs'!$B$6</f>
        <v>3.3677873246482695</v>
      </c>
      <c r="B136">
        <f>B135+C136*'Inputs &amp; Outputs'!$B$6</f>
        <v>7.7108162831028002</v>
      </c>
      <c r="C136">
        <f>C135+D135*'Inputs &amp; Outputs'!$B$6</f>
        <v>-1.4201266116444171</v>
      </c>
      <c r="D136">
        <f>(-'Inputs &amp; Outputs'!$B$4*B136)/'Inputs &amp; Outputs'!$B$5</f>
        <v>-1.9277040707756998</v>
      </c>
      <c r="E136">
        <f>1/2*'Inputs &amp; Outputs'!$B$5*'Iterative Steps'!C136^2</f>
        <v>20.167595931006531</v>
      </c>
      <c r="F136">
        <f>1/2*'Inputs &amp; Outputs'!$B$4*'Iterative Steps'!B136^2</f>
        <v>148.64171937940822</v>
      </c>
      <c r="G136">
        <f t="shared" si="3"/>
        <v>168.80931531041475</v>
      </c>
    </row>
    <row r="137" spans="1:7" x14ac:dyDescent="0.2">
      <c r="A137">
        <f>A136+'Inputs &amp; Outputs'!$B$6</f>
        <v>3.392920065876988</v>
      </c>
      <c r="B137">
        <f>B136+C137*'Inputs &amp; Outputs'!$B$6</f>
        <v>7.6739069651591452</v>
      </c>
      <c r="C137">
        <f>C136+D136*'Inputs &amp; Outputs'!$B$6</f>
        <v>-1.4685750992207698</v>
      </c>
      <c r="D137">
        <f>(-'Inputs &amp; Outputs'!$B$4*B137)/'Inputs &amp; Outputs'!$B$5</f>
        <v>-1.9184767412897863</v>
      </c>
      <c r="E137">
        <f>1/2*'Inputs &amp; Outputs'!$B$5*'Iterative Steps'!C137^2</f>
        <v>21.567128220512938</v>
      </c>
      <c r="F137">
        <f>1/2*'Inputs &amp; Outputs'!$B$4*'Iterative Steps'!B137^2</f>
        <v>147.22212027479512</v>
      </c>
      <c r="G137">
        <f t="shared" si="3"/>
        <v>168.78924849530804</v>
      </c>
    </row>
    <row r="138" spans="1:7" x14ac:dyDescent="0.2">
      <c r="A138">
        <f>A137+'Inputs &amp; Outputs'!$B$6</f>
        <v>3.4180528071057066</v>
      </c>
      <c r="B138">
        <f>B137+C138*'Inputs &amp; Outputs'!$B$6</f>
        <v>7.6357858324001802</v>
      </c>
      <c r="C138">
        <f>C137+D137*'Inputs &amp; Outputs'!$B$6</f>
        <v>-1.5167916787129208</v>
      </c>
      <c r="D138">
        <f>(-'Inputs &amp; Outputs'!$B$4*B138)/'Inputs &amp; Outputs'!$B$5</f>
        <v>-1.9089464581000448</v>
      </c>
      <c r="E138">
        <f>1/2*'Inputs &amp; Outputs'!$B$5*'Iterative Steps'!C138^2</f>
        <v>23.006569966127604</v>
      </c>
      <c r="F138">
        <f>1/2*'Inputs &amp; Outputs'!$B$4*'Iterative Steps'!B138^2</f>
        <v>145.76306319570827</v>
      </c>
      <c r="G138">
        <f t="shared" si="3"/>
        <v>168.76963316183588</v>
      </c>
    </row>
    <row r="139" spans="1:7" x14ac:dyDescent="0.2">
      <c r="A139">
        <f>A138+'Inputs &amp; Outputs'!$B$6</f>
        <v>3.4431855483344251</v>
      </c>
      <c r="B139">
        <f>B138+C139*'Inputs &amp; Outputs'!$B$6</f>
        <v>7.5964589046738995</v>
      </c>
      <c r="C139">
        <f>C138+D138*'Inputs &amp; Outputs'!$B$6</f>
        <v>-1.5647687360638276</v>
      </c>
      <c r="D139">
        <f>(-'Inputs &amp; Outputs'!$B$4*B139)/'Inputs &amp; Outputs'!$B$5</f>
        <v>-1.8991147261684749</v>
      </c>
      <c r="E139">
        <f>1/2*'Inputs &amp; Outputs'!$B$5*'Iterative Steps'!C139^2</f>
        <v>24.485011973627884</v>
      </c>
      <c r="F139">
        <f>1/2*'Inputs &amp; Outputs'!$B$4*'Iterative Steps'!B139^2</f>
        <v>144.26546972599846</v>
      </c>
      <c r="G139">
        <f t="shared" si="3"/>
        <v>168.75048169962633</v>
      </c>
    </row>
    <row r="140" spans="1:7" x14ac:dyDescent="0.2">
      <c r="A140">
        <f>A139+'Inputs &amp; Outputs'!$B$6</f>
        <v>3.4683182895631437</v>
      </c>
      <c r="B140">
        <f>B139+C140*'Inputs &amp; Outputs'!$B$6</f>
        <v>7.5559323922398063</v>
      </c>
      <c r="C140">
        <f>C139+D139*'Inputs &amp; Outputs'!$B$6</f>
        <v>-1.6124986950402682</v>
      </c>
      <c r="D140">
        <f>(-'Inputs &amp; Outputs'!$B$4*B140)/'Inputs &amp; Outputs'!$B$5</f>
        <v>-1.8889830980599516</v>
      </c>
      <c r="E140">
        <f>1/2*'Inputs &amp; Outputs'!$B$5*'Iterative Steps'!C140^2</f>
        <v>26.001520415065681</v>
      </c>
      <c r="F140">
        <f>1/2*'Inputs &amp; Outputs'!$B$4*'Iterative Steps'!B140^2</f>
        <v>142.73028579024691</v>
      </c>
      <c r="G140">
        <f t="shared" si="3"/>
        <v>168.73180620531258</v>
      </c>
    </row>
    <row r="141" spans="1:7" x14ac:dyDescent="0.2">
      <c r="A141">
        <f>A140+'Inputs &amp; Outputs'!$B$6</f>
        <v>3.4934510307918623</v>
      </c>
      <c r="B141">
        <f>B140+C141*'Inputs &amp; Outputs'!$B$6</f>
        <v>7.5142126947882284</v>
      </c>
      <c r="C141">
        <f>C140+D140*'Inputs &amp; Outputs'!$B$6</f>
        <v>-1.6599740184292318</v>
      </c>
      <c r="D141">
        <f>(-'Inputs &amp; Outputs'!$B$4*B141)/'Inputs &amp; Outputs'!$B$5</f>
        <v>-1.8785531736970573</v>
      </c>
      <c r="E141">
        <f>1/2*'Inputs &amp; Outputs'!$B$5*'Iterative Steps'!C141^2</f>
        <v>27.555137418600914</v>
      </c>
      <c r="F141">
        <f>1/2*'Inputs &amp; Outputs'!$B$4*'Iterative Steps'!B141^2</f>
        <v>141.15848105629144</v>
      </c>
      <c r="G141">
        <f t="shared" si="3"/>
        <v>168.71361847489234</v>
      </c>
    </row>
    <row r="142" spans="1:7" x14ac:dyDescent="0.2">
      <c r="A142">
        <f>A141+'Inputs &amp; Outputs'!$B$6</f>
        <v>3.5185837720205808</v>
      </c>
      <c r="B142">
        <f>B141+C142*'Inputs &amp; Outputs'!$B$6</f>
        <v>7.4713064004297198</v>
      </c>
      <c r="C142">
        <f>C141+D141*'Inputs &amp; Outputs'!$B$6</f>
        <v>-1.7071872092281475</v>
      </c>
      <c r="D142">
        <f>(-'Inputs &amp; Outputs'!$B$4*B142)/'Inputs &amp; Outputs'!$B$5</f>
        <v>-1.86782660010743</v>
      </c>
      <c r="E142">
        <f>1/2*'Inputs &amp; Outputs'!$B$5*'Iterative Steps'!C142^2</f>
        <v>29.144881673521908</v>
      </c>
      <c r="F142">
        <f>1/2*'Inputs &amp; Outputs'!$B$4*'Iterative Steps'!B142^2</f>
        <v>139.55104832275524</v>
      </c>
      <c r="G142">
        <f t="shared" si="3"/>
        <v>168.69592999627713</v>
      </c>
    </row>
    <row r="143" spans="1:7" x14ac:dyDescent="0.2">
      <c r="A143">
        <f>A142+'Inputs &amp; Outputs'!$B$6</f>
        <v>3.5437165132492994</v>
      </c>
      <c r="B143">
        <f>B142+C143*'Inputs &amp; Outputs'!$B$6</f>
        <v>7.4272202846547062</v>
      </c>
      <c r="C143">
        <f>C142+D142*'Inputs &amp; Outputs'!$B$6</f>
        <v>-1.7541308118287644</v>
      </c>
      <c r="D143">
        <f>(-'Inputs &amp; Outputs'!$B$4*B143)/'Inputs &amp; Outputs'!$B$5</f>
        <v>-1.8568050711636765</v>
      </c>
      <c r="E143">
        <f>1/2*'Inputs &amp; Outputs'!$B$5*'Iterative Steps'!C143^2</f>
        <v>30.769749050070399</v>
      </c>
      <c r="F143">
        <f>1/2*'Inputs &amp; Outputs'!$B$4*'Iterative Steps'!B143^2</f>
        <v>137.90900289196583</v>
      </c>
      <c r="G143">
        <f t="shared" si="3"/>
        <v>168.67875194203623</v>
      </c>
    </row>
    <row r="144" spans="1:7" x14ac:dyDescent="0.2">
      <c r="A144">
        <f>A143+'Inputs &amp; Outputs'!$B$6</f>
        <v>3.5688492544780179</v>
      </c>
      <c r="B144">
        <f>B143+C144*'Inputs &amp; Outputs'!$B$6</f>
        <v>7.3819613092635432</v>
      </c>
      <c r="C144">
        <f>C143+D143*'Inputs &amp; Outputs'!$B$6</f>
        <v>-1.800797413194493</v>
      </c>
      <c r="D144">
        <f>(-'Inputs &amp; Outputs'!$B$4*B144)/'Inputs &amp; Outputs'!$B$5</f>
        <v>-1.8454903273158858</v>
      </c>
      <c r="E144">
        <f>1/2*'Inputs &amp; Outputs'!$B$5*'Iterative Steps'!C144^2</f>
        <v>32.42871323367978</v>
      </c>
      <c r="F144">
        <f>1/2*'Inputs &amp; Outputs'!$B$4*'Iterative Steps'!B144^2</f>
        <v>136.23338192865981</v>
      </c>
      <c r="G144">
        <f t="shared" si="3"/>
        <v>168.6620951623396</v>
      </c>
    </row>
    <row r="145" spans="1:7" x14ac:dyDescent="0.2">
      <c r="A145">
        <f>A144+'Inputs &amp; Outputs'!$B$6</f>
        <v>3.5939819957067365</v>
      </c>
      <c r="B145">
        <f>B144+C145*'Inputs &amp; Outputs'!$B$6</f>
        <v>7.3355366212671553</v>
      </c>
      <c r="C145">
        <f>C144+D144*'Inputs &amp; Outputs'!$B$6</f>
        <v>-1.847179644031026</v>
      </c>
      <c r="D145">
        <f>(-'Inputs &amp; Outputs'!$B$4*B145)/'Inputs &amp; Outputs'!$B$5</f>
        <v>-1.8338841553167888</v>
      </c>
      <c r="E145">
        <f>1/2*'Inputs &amp; Outputs'!$B$5*'Iterative Steps'!C145^2</f>
        <v>34.120726373225878</v>
      </c>
      <c r="F145">
        <f>1/2*'Inputs &amp; Outputs'!$B$4*'Iterative Steps'!B145^2</f>
        <v>134.5252438048789</v>
      </c>
      <c r="G145">
        <f t="shared" si="3"/>
        <v>168.64597017810479</v>
      </c>
    </row>
    <row r="146" spans="1:7" x14ac:dyDescent="0.2">
      <c r="A146">
        <f>A145+'Inputs &amp; Outputs'!$B$6</f>
        <v>3.619114736935455</v>
      </c>
      <c r="B146">
        <f>B145+C146*'Inputs &amp; Outputs'!$B$6</f>
        <v>7.287953551758422</v>
      </c>
      <c r="C146">
        <f>C145+D145*'Inputs &amp; Outputs'!$B$6</f>
        <v>-1.8932701799500495</v>
      </c>
      <c r="D146">
        <f>(-'Inputs &amp; Outputs'!$B$4*B146)/'Inputs &amp; Outputs'!$B$5</f>
        <v>-1.8219883879396055</v>
      </c>
      <c r="E146">
        <f>1/2*'Inputs &amp; Outputs'!$B$5*'Iterative Steps'!C146^2</f>
        <v>35.844719742880933</v>
      </c>
      <c r="F146">
        <f>1/2*'Inputs &amp; Outputs'!$B$4*'Iterative Steps'!B146^2</f>
        <v>132.7856674314705</v>
      </c>
      <c r="G146">
        <f t="shared" si="3"/>
        <v>168.63038717435143</v>
      </c>
    </row>
    <row r="147" spans="1:7" x14ac:dyDescent="0.2">
      <c r="A147">
        <f>A146+'Inputs &amp; Outputs'!$B$6</f>
        <v>3.6442474781641736</v>
      </c>
      <c r="B147">
        <f>B146+C147*'Inputs &amp; Outputs'!$B$6</f>
        <v>7.2392196147544983</v>
      </c>
      <c r="C147">
        <f>C146+D146*'Inputs &amp; Outputs'!$B$6</f>
        <v>-1.9390617426258654</v>
      </c>
      <c r="D147">
        <f>(-'Inputs &amp; Outputs'!$B$4*B147)/'Inputs &amp; Outputs'!$B$5</f>
        <v>-1.8098049036886246</v>
      </c>
      <c r="E147">
        <f>1/2*'Inputs &amp; Outputs'!$B$5*'Iterative Steps'!C147^2</f>
        <v>37.599604417152577</v>
      </c>
      <c r="F147">
        <f>1/2*'Inputs &amp; Outputs'!$B$4*'Iterative Steps'!B147^2</f>
        <v>131.01575157661566</v>
      </c>
      <c r="G147">
        <f t="shared" si="3"/>
        <v>168.61535599376822</v>
      </c>
    </row>
    <row r="148" spans="1:7" x14ac:dyDescent="0.2">
      <c r="A148">
        <f>A147+'Inputs &amp; Outputs'!$B$6</f>
        <v>3.6693802193928922</v>
      </c>
      <c r="B148">
        <f>B147+C148*'Inputs &amp; Outputs'!$B$6</f>
        <v>7.1893425060102514</v>
      </c>
      <c r="C148">
        <f>C147+D147*'Inputs &amp; Outputs'!$B$6</f>
        <v>-1.9845471009447371</v>
      </c>
      <c r="D148">
        <f>(-'Inputs &amp; Outputs'!$B$4*B148)/'Inputs &amp; Outputs'!$B$5</f>
        <v>-1.7973356265025628</v>
      </c>
      <c r="E148">
        <f>1/2*'Inputs &amp; Outputs'!$B$5*'Iterative Steps'!C148^2</f>
        <v>39.384271958681602</v>
      </c>
      <c r="F148">
        <f>1/2*'Inputs &amp; Outputs'!$B$4*'Iterative Steps'!B148^2</f>
        <v>129.2166141718144</v>
      </c>
      <c r="G148">
        <f t="shared" si="3"/>
        <v>168.60088613049601</v>
      </c>
    </row>
    <row r="149" spans="1:7" x14ac:dyDescent="0.2">
      <c r="A149">
        <f>A148+'Inputs &amp; Outputs'!$B$6</f>
        <v>3.6945129606216107</v>
      </c>
      <c r="B149">
        <f>B148+C149*'Inputs &amp; Outputs'!$B$6</f>
        <v>7.1383301018029917</v>
      </c>
      <c r="C149">
        <f>C148+D148*'Inputs &amp; Outputs'!$B$6</f>
        <v>-2.0297190721467824</v>
      </c>
      <c r="D149">
        <f>(-'Inputs &amp; Outputs'!$B$4*B149)/'Inputs &amp; Outputs'!$B$5</f>
        <v>-1.7845825254507477</v>
      </c>
      <c r="E149">
        <f>1/2*'Inputs &amp; Outputs'!$B$5*'Iterative Steps'!C149^2</f>
        <v>41.197595118363949</v>
      </c>
      <c r="F149">
        <f>1/2*'Inputs &amp; Outputs'!$B$4*'Iterative Steps'!B149^2</f>
        <v>127.38939160576678</v>
      </c>
      <c r="G149">
        <f t="shared" si="3"/>
        <v>168.58698672413072</v>
      </c>
    </row>
    <row r="150" spans="1:7" x14ac:dyDescent="0.2">
      <c r="A150">
        <f>A149+'Inputs &amp; Outputs'!$B$6</f>
        <v>3.7196457018503293</v>
      </c>
      <c r="B150">
        <f>B149+C150*'Inputs &amp; Outputs'!$B$6</f>
        <v>7.0861904576887049</v>
      </c>
      <c r="C150">
        <f>C149+D149*'Inputs &amp; Outputs'!$B$6</f>
        <v>-2.0745705229602285</v>
      </c>
      <c r="D150">
        <f>(-'Inputs &amp; Outputs'!$B$4*B150)/'Inputs &amp; Outputs'!$B$5</f>
        <v>-1.771547614422176</v>
      </c>
      <c r="E150">
        <f>1/2*'Inputs &amp; Outputs'!$B$5*'Iterative Steps'!C150^2</f>
        <v>43.038428547354755</v>
      </c>
      <c r="F150">
        <f>1/2*'Inputs &amp; Outputs'!$B$4*'Iterative Steps'!B150^2</f>
        <v>125.53523800659613</v>
      </c>
      <c r="G150">
        <f t="shared" si="3"/>
        <v>168.57366655395089</v>
      </c>
    </row>
    <row r="151" spans="1:7" x14ac:dyDescent="0.2">
      <c r="A151">
        <f>A150+'Inputs &amp; Outputs'!$B$6</f>
        <v>3.7447784430790478</v>
      </c>
      <c r="B151">
        <f>B150+C151*'Inputs &amp; Outputs'!$B$6</f>
        <v>7.0329318072299678</v>
      </c>
      <c r="C151">
        <f>C150+D150*'Inputs &amp; Outputs'!$B$6</f>
        <v>-2.1190943707278542</v>
      </c>
      <c r="D151">
        <f>(-'Inputs &amp; Outputs'!$B$4*B151)/'Inputs &amp; Outputs'!$B$5</f>
        <v>-1.7582329518074922</v>
      </c>
      <c r="E151">
        <f>1/2*'Inputs &amp; Outputs'!$B$5*'Iterative Steps'!C151^2</f>
        <v>44.905609520504804</v>
      </c>
      <c r="F151">
        <f>1/2*'Inputs &amp; Outputs'!$B$4*'Iterative Steps'!B151^2</f>
        <v>123.65532451286745</v>
      </c>
      <c r="G151">
        <f t="shared" si="3"/>
        <v>168.56093403337226</v>
      </c>
    </row>
    <row r="152" spans="1:7" x14ac:dyDescent="0.2">
      <c r="A152">
        <f>A151+'Inputs &amp; Outputs'!$B$6</f>
        <v>3.7699111843077664</v>
      </c>
      <c r="B152">
        <f>B151+C152*'Inputs &amp; Outputs'!$B$6</f>
        <v>6.9785625606957558</v>
      </c>
      <c r="C152">
        <f>C151+D151*'Inputs &amp; Outputs'!$B$6</f>
        <v>-2.1632835845254377</v>
      </c>
      <c r="D152">
        <f>(-'Inputs &amp; Outputs'!$B$4*B152)/'Inputs &amp; Outputs'!$B$5</f>
        <v>-1.7446406401739387</v>
      </c>
      <c r="E152">
        <f>1/2*'Inputs &amp; Outputs'!$B$5*'Iterative Steps'!C152^2</f>
        <v>46.79795867077226</v>
      </c>
      <c r="F152">
        <f>1/2*'Inputs &amp; Outputs'!$B$4*'Iterative Steps'!B152^2</f>
        <v>121.75083853386126</v>
      </c>
      <c r="G152">
        <f t="shared" si="3"/>
        <v>168.5487972046335</v>
      </c>
    </row>
    <row r="153" spans="1:7" x14ac:dyDescent="0.2">
      <c r="A153">
        <f>A152+'Inputs &amp; Outputs'!$B$6</f>
        <v>3.795043925536485</v>
      </c>
      <c r="B153">
        <f>B152+C153*'Inputs &amp; Outputs'!$B$6</f>
        <v>6.9230913037333464</v>
      </c>
      <c r="C153">
        <f>C152+D152*'Inputs &amp; Outputs'!$B$6</f>
        <v>-2.2071311862720346</v>
      </c>
      <c r="D153">
        <f>(-'Inputs &amp; Outputs'!$B$4*B153)/'Inputs &amp; Outputs'!$B$5</f>
        <v>-1.7307728259333366</v>
      </c>
      <c r="E153">
        <f>1/2*'Inputs &amp; Outputs'!$B$5*'Iterative Steps'!C153^2</f>
        <v>48.714280734145987</v>
      </c>
      <c r="F153">
        <f>1/2*'Inputs &amp; Outputs'!$B$4*'Iterative Steps'!B153^2</f>
        <v>119.82298299957071</v>
      </c>
      <c r="G153">
        <f t="shared" si="3"/>
        <v>168.53726373371671</v>
      </c>
    </row>
    <row r="154" spans="1:7" x14ac:dyDescent="0.2">
      <c r="A154">
        <f>A153+'Inputs &amp; Outputs'!$B$6</f>
        <v>3.8201766667652035</v>
      </c>
      <c r="B154">
        <f>B153+C154*'Inputs &amp; Outputs'!$B$6</f>
        <v>6.86652679601253</v>
      </c>
      <c r="C154">
        <f>C153+D153*'Inputs &amp; Outputs'!$B$6</f>
        <v>-2.2506302518319146</v>
      </c>
      <c r="D154">
        <f>(-'Inputs &amp; Outputs'!$B$4*B154)/'Inputs &amp; Outputs'!$B$5</f>
        <v>-1.7166316990031327</v>
      </c>
      <c r="E154">
        <f>1/2*'Inputs &amp; Outputs'!$B$5*'Iterative Steps'!C154^2</f>
        <v>50.653365304609878</v>
      </c>
      <c r="F154">
        <f>1/2*'Inputs &amp; Outputs'!$B$4*'Iterative Steps'!B154^2</f>
        <v>117.87297560089526</v>
      </c>
      <c r="G154">
        <f t="shared" si="3"/>
        <v>168.52634090550515</v>
      </c>
    </row>
    <row r="155" spans="1:7" x14ac:dyDescent="0.2">
      <c r="A155">
        <f>A154+'Inputs &amp; Outputs'!$B$6</f>
        <v>3.8453094079939221</v>
      </c>
      <c r="B155">
        <f>B154+C155*'Inputs &amp; Outputs'!$B$6</f>
        <v>6.8088779698423352</v>
      </c>
      <c r="C155">
        <f>C154+D154*'Inputs &amp; Outputs'!$B$6</f>
        <v>-2.2937739121079752</v>
      </c>
      <c r="D155">
        <f>(-'Inputs &amp; Outputs'!$B$4*B155)/'Inputs &amp; Outputs'!$B$5</f>
        <v>-1.7022194924605838</v>
      </c>
      <c r="E155">
        <f>1/2*'Inputs &amp; Outputs'!$B$5*'Iterative Steps'!C155^2</f>
        <v>52.613987598671258</v>
      </c>
      <c r="F155">
        <f>1/2*'Inputs &amp; Outputs'!$B$4*'Iterative Steps'!B155^2</f>
        <v>115.90204802051069</v>
      </c>
      <c r="G155">
        <f t="shared" si="3"/>
        <v>168.51603561918193</v>
      </c>
    </row>
    <row r="156" spans="1:7" x14ac:dyDescent="0.2">
      <c r="A156">
        <f>A155+'Inputs &amp; Outputs'!$B$6</f>
        <v>3.8704421492226406</v>
      </c>
      <c r="B156">
        <f>B155+C156*'Inputs &amp; Outputs'!$B$6</f>
        <v>6.7501539287604979</v>
      </c>
      <c r="C156">
        <f>C155+D155*'Inputs &amp; Outputs'!$B$6</f>
        <v>-2.3365553541264674</v>
      </c>
      <c r="D156">
        <f>(-'Inputs &amp; Outputs'!$B$4*B156)/'Inputs &amp; Outputs'!$B$5</f>
        <v>-1.6875384821901247</v>
      </c>
      <c r="E156">
        <f>1/2*'Inputs &amp; Outputs'!$B$5*'Iterative Steps'!C156^2</f>
        <v>54.594909228970614</v>
      </c>
      <c r="F156">
        <f>1/2*'Inputs &amp; Outputs'!$B$4*'Iterative Steps'!B156^2</f>
        <v>113.91144515490197</v>
      </c>
      <c r="G156">
        <f t="shared" si="3"/>
        <v>168.50635438387258</v>
      </c>
    </row>
    <row r="157" spans="1:7" x14ac:dyDescent="0.2">
      <c r="A157">
        <f>A156+'Inputs &amp; Outputs'!$B$6</f>
        <v>3.8955748904513592</v>
      </c>
      <c r="B157">
        <f>B156+C157*'Inputs &amp; Outputs'!$B$6</f>
        <v>6.6903639460958875</v>
      </c>
      <c r="C157">
        <f>C156+D156*'Inputs &amp; Outputs'!$B$6</f>
        <v>-2.3789678221128558</v>
      </c>
      <c r="D157">
        <f>(-'Inputs &amp; Outputs'!$B$4*B157)/'Inputs &amp; Outputs'!$B$5</f>
        <v>-1.6725909865239719</v>
      </c>
      <c r="E157">
        <f>1/2*'Inputs &amp; Outputs'!$B$5*'Iterative Steps'!C157^2</f>
        <v>56.594878986483849</v>
      </c>
      <c r="F157">
        <f>1/2*'Inputs &amp; Outputs'!$B$4*'Iterative Steps'!B157^2</f>
        <v>111.90242432804935</v>
      </c>
      <c r="G157">
        <f t="shared" si="3"/>
        <v>168.49730331453321</v>
      </c>
    </row>
    <row r="158" spans="1:7" x14ac:dyDescent="0.2">
      <c r="A158">
        <f>A157+'Inputs &amp; Outputs'!$B$6</f>
        <v>3.9207076316800777</v>
      </c>
      <c r="B158">
        <f>B157+C158*'Inputs &amp; Outputs'!$B$6</f>
        <v>6.6295174635041212</v>
      </c>
      <c r="C158">
        <f>C157+D157*'Inputs &amp; Outputs'!$B$6</f>
        <v>-2.4210046185586496</v>
      </c>
      <c r="D158">
        <f>(-'Inputs &amp; Outputs'!$B$4*B158)/'Inputs &amp; Outputs'!$B$5</f>
        <v>-1.6573793658760301</v>
      </c>
      <c r="E158">
        <f>1/2*'Inputs &amp; Outputs'!$B$5*'Iterative Steps'!C158^2</f>
        <v>58.612633630823119</v>
      </c>
      <c r="F158">
        <f>1/2*'Inputs &amp; Outputs'!$B$4*'Iterative Steps'!B158^2</f>
        <v>109.87625449726529</v>
      </c>
      <c r="G158">
        <f t="shared" si="3"/>
        <v>168.4888881280884</v>
      </c>
    </row>
    <row r="159" spans="1:7" x14ac:dyDescent="0.2">
      <c r="A159">
        <f>A158+'Inputs &amp; Outputs'!$B$6</f>
        <v>3.9458403729087963</v>
      </c>
      <c r="B159">
        <f>B158+C159*'Inputs &amp; Outputs'!$B$6</f>
        <v>6.5676240894765963</v>
      </c>
      <c r="C159">
        <f>C158+D158*'Inputs &amp; Outputs'!$B$6</f>
        <v>-2.462659105279029</v>
      </c>
      <c r="D159">
        <f>(-'Inputs &amp; Outputs'!$B$4*B159)/'Inputs &amp; Outputs'!$B$5</f>
        <v>-1.6419060223691493</v>
      </c>
      <c r="E159">
        <f>1/2*'Inputs &amp; Outputs'!$B$5*'Iterative Steps'!C159^2</f>
        <v>60.646898688137078</v>
      </c>
      <c r="F159">
        <f>1/2*'Inputs &amp; Outputs'!$B$4*'Iterative Steps'!B159^2</f>
        <v>107.83421545168322</v>
      </c>
      <c r="G159">
        <f t="shared" si="3"/>
        <v>168.48111413982031</v>
      </c>
    </row>
    <row r="160" spans="1:7" x14ac:dyDescent="0.2">
      <c r="A160">
        <f>A159+'Inputs &amp; Outputs'!$B$6</f>
        <v>3.9709731141375149</v>
      </c>
      <c r="B160">
        <f>B159+C160*'Inputs &amp; Outputs'!$B$6</f>
        <v>6.5046935978231799</v>
      </c>
      <c r="C160">
        <f>C159+D159*'Inputs &amp; Outputs'!$B$6</f>
        <v>-2.5039247044611073</v>
      </c>
      <c r="D160">
        <f>(-'Inputs &amp; Outputs'!$B$4*B160)/'Inputs &amp; Outputs'!$B$5</f>
        <v>-1.626173399455795</v>
      </c>
      <c r="E160">
        <f>1/2*'Inputs &amp; Outputs'!$B$5*'Iterative Steps'!C160^2</f>
        <v>62.696389256106436</v>
      </c>
      <c r="F160">
        <f>1/2*'Inputs &amp; Outputs'!$B$4*'Iterative Steps'!B160^2</f>
        <v>105.77759700390466</v>
      </c>
      <c r="G160">
        <f t="shared" si="3"/>
        <v>168.47398626001109</v>
      </c>
    </row>
    <row r="161" spans="1:7" x14ac:dyDescent="0.2">
      <c r="A161">
        <f>A160+'Inputs &amp; Outputs'!$B$6</f>
        <v>3.9961058553662334</v>
      </c>
      <c r="B161">
        <f>B160+C161*'Inputs &amp; Outputs'!$B$6</f>
        <v>6.4407359261287906</v>
      </c>
      <c r="C161">
        <f>C160+D160*'Inputs &amp; Outputs'!$B$6</f>
        <v>-2.544794899702655</v>
      </c>
      <c r="D161">
        <f>(-'Inputs &amp; Outputs'!$B$4*B161)/'Inputs &amp; Outputs'!$B$5</f>
        <v>-1.6101839815321977</v>
      </c>
      <c r="E161">
        <f>1/2*'Inputs &amp; Outputs'!$B$5*'Iterative Steps'!C161^2</f>
        <v>64.759810815526464</v>
      </c>
      <c r="F161">
        <f>1/2*'Inputs &amp; Outputs'!$B$4*'Iterative Steps'!B161^2</f>
        <v>103.70769817531523</v>
      </c>
      <c r="G161">
        <f t="shared" si="3"/>
        <v>168.46750899084168</v>
      </c>
    </row>
    <row r="162" spans="1:7" x14ac:dyDescent="0.2">
      <c r="A162">
        <f>A161+'Inputs &amp; Outputs'!$B$6</f>
        <v>4.0212385965949515</v>
      </c>
      <c r="B162">
        <f>B161+C162*'Inputs &amp; Outputs'!$B$6</f>
        <v>6.3757611741841176</v>
      </c>
      <c r="C162">
        <f>C161+D161*'Inputs &amp; Outputs'!$B$6</f>
        <v>-2.585263237041131</v>
      </c>
      <c r="D162">
        <f>(-'Inputs &amp; Outputs'!$B$4*B162)/'Inputs &amp; Outputs'!$B$5</f>
        <v>-1.5939402935460294</v>
      </c>
      <c r="E162">
        <f>1/2*'Inputs &amp; Outputs'!$B$5*'Iterative Steps'!C162^2</f>
        <v>66.835860047963877</v>
      </c>
      <c r="F162">
        <f>1/2*'Inputs &amp; Outputs'!$B$4*'Iterative Steps'!B162^2</f>
        <v>101.6258263755841</v>
      </c>
      <c r="G162">
        <f t="shared" si="3"/>
        <v>168.46168642354797</v>
      </c>
    </row>
    <row r="163" spans="1:7" x14ac:dyDescent="0.2">
      <c r="A163">
        <f>A162+'Inputs &amp; Outputs'!$B$6</f>
        <v>4.0463713378236701</v>
      </c>
      <c r="B163">
        <f>B162+C163*'Inputs &amp; Outputs'!$B$6</f>
        <v>6.3097796023907238</v>
      </c>
      <c r="C163">
        <f>C162+D162*'Inputs &amp; Outputs'!$B$6</f>
        <v>-2.6253233259728508</v>
      </c>
      <c r="D163">
        <f>(-'Inputs &amp; Outputs'!$B$4*B163)/'Inputs &amp; Outputs'!$B$5</f>
        <v>-1.5774449005976809</v>
      </c>
      <c r="E163">
        <f>1/2*'Inputs &amp; Outputs'!$B$5*'Iterative Steps'!C163^2</f>
        <v>68.923225658971518</v>
      </c>
      <c r="F163">
        <f>1/2*'Inputs &amp; Outputs'!$B$4*'Iterative Steps'!B163^2</f>
        <v>99.533296576865098</v>
      </c>
      <c r="G163">
        <f t="shared" si="3"/>
        <v>168.45652223583662</v>
      </c>
    </row>
    <row r="164" spans="1:7" x14ac:dyDescent="0.2">
      <c r="A164">
        <f>A163+'Inputs &amp; Outputs'!$B$6</f>
        <v>4.0715040790523886</v>
      </c>
      <c r="B164">
        <f>B163+C164*'Inputs &amp; Outputs'!$B$6</f>
        <v>6.2428016301407911</v>
      </c>
      <c r="C164">
        <f>C163+D163*'Inputs &amp; Outputs'!$B$6</f>
        <v>-2.6649688404621337</v>
      </c>
      <c r="D164">
        <f>(-'Inputs &amp; Outputs'!$B$4*B164)/'Inputs &amp; Outputs'!$B$5</f>
        <v>-1.5607004075351978</v>
      </c>
      <c r="E164">
        <f>1/2*'Inputs &amp; Outputs'!$B$5*'Iterative Steps'!C164^2</f>
        <v>71.020589206340901</v>
      </c>
      <c r="F164">
        <f>1/2*'Inputs &amp; Outputs'!$B$4*'Iterative Steps'!B164^2</f>
        <v>97.431430483221305</v>
      </c>
      <c r="G164">
        <f t="shared" si="3"/>
        <v>168.45201968956221</v>
      </c>
    </row>
    <row r="165" spans="1:7" x14ac:dyDescent="0.2">
      <c r="A165">
        <f>A164+'Inputs &amp; Outputs'!$B$6</f>
        <v>4.0966368202811072</v>
      </c>
      <c r="B165">
        <f>B164+C165*'Inputs &amp; Outputs'!$B$6</f>
        <v>6.1748378341717549</v>
      </c>
      <c r="C165">
        <f>C164+D164*'Inputs &amp; Outputs'!$B$6</f>
        <v>-2.7041935199402709</v>
      </c>
      <c r="D165">
        <f>(-'Inputs &amp; Outputs'!$B$4*B165)/'Inputs &amp; Outputs'!$B$5</f>
        <v>-1.5437094585429387</v>
      </c>
      <c r="E165">
        <f>1/2*'Inputs &amp; Outputs'!$B$5*'Iterative Steps'!C165^2</f>
        <v>73.12662593286953</v>
      </c>
      <c r="F165">
        <f>1/2*'Inputs &amp; Outputs'!$B$4*'Iterative Steps'!B165^2</f>
        <v>95.321555695797315</v>
      </c>
      <c r="G165">
        <f t="shared" si="3"/>
        <v>168.44818162866684</v>
      </c>
    </row>
    <row r="166" spans="1:7" x14ac:dyDescent="0.2">
      <c r="A166">
        <f>A165+'Inputs &amp; Outputs'!$B$6</f>
        <v>4.1217695615098258</v>
      </c>
      <c r="B166">
        <f>B165+C166*'Inputs &amp; Outputs'!$B$6</f>
        <v>6.1058989468960929</v>
      </c>
      <c r="C166">
        <f>C165+D165*'Inputs &amp; Outputs'!$B$6</f>
        <v>-2.7429911702941556</v>
      </c>
      <c r="D166">
        <f>(-'Inputs &amp; Outputs'!$B$4*B166)/'Inputs &amp; Outputs'!$B$5</f>
        <v>-1.5264747367240232</v>
      </c>
      <c r="E166">
        <f>1/2*'Inputs &amp; Outputs'!$B$5*'Iterative Steps'!C166^2</f>
        <v>75.240005603117012</v>
      </c>
      <c r="F166">
        <f>1/2*'Inputs &amp; Outputs'!$B$4*'Iterative Steps'!B166^2</f>
        <v>93.205004874267047</v>
      </c>
      <c r="G166">
        <f t="shared" si="3"/>
        <v>168.44501047738407</v>
      </c>
    </row>
    <row r="167" spans="1:7" x14ac:dyDescent="0.2">
      <c r="A167">
        <f>A166+'Inputs &amp; Outputs'!$B$6</f>
        <v>4.1469023027385443</v>
      </c>
      <c r="B167">
        <f>B166+C167*'Inputs &amp; Outputs'!$B$6</f>
        <v>6.0359958547065284</v>
      </c>
      <c r="C167">
        <f>C166+D166*'Inputs &amp; Outputs'!$B$6</f>
        <v>-2.7813556648444164</v>
      </c>
      <c r="D167">
        <f>(-'Inputs &amp; Outputs'!$B$4*B167)/'Inputs &amp; Outputs'!$B$5</f>
        <v>-1.5089989636766321</v>
      </c>
      <c r="E167">
        <f>1/2*'Inputs &amp; Outputs'!$B$5*'Iterative Steps'!C167^2</f>
        <v>77.359393343621264</v>
      </c>
      <c r="F167">
        <f>1/2*'Inputs &amp; Outputs'!$B$4*'Iterative Steps'!B167^2</f>
        <v>91.083114895085998</v>
      </c>
      <c r="G167">
        <f t="shared" si="3"/>
        <v>168.44250823870726</v>
      </c>
    </row>
    <row r="168" spans="1:7" x14ac:dyDescent="0.2">
      <c r="A168">
        <f>A167+'Inputs &amp; Outputs'!$B$6</f>
        <v>4.1720350439672629</v>
      </c>
      <c r="B168">
        <f>B167+C168*'Inputs &amp; Outputs'!$B$6</f>
        <v>5.9651395962569227</v>
      </c>
      <c r="C168">
        <f>C167+D167*'Inputs &amp; Outputs'!$B$6</f>
        <v>-2.8192809453129053</v>
      </c>
      <c r="D168">
        <f>(-'Inputs &amp; Outputs'!$B$4*B168)/'Inputs &amp; Outputs'!$B$5</f>
        <v>-1.4912848990642307</v>
      </c>
      <c r="E168">
        <f>1/2*'Inputs &amp; Outputs'!$B$5*'Iterative Steps'!C168^2</f>
        <v>79.483450486044291</v>
      </c>
      <c r="F168">
        <f>1/2*'Inputs &amp; Outputs'!$B$4*'Iterative Steps'!B168^2</f>
        <v>88.957226007080521</v>
      </c>
      <c r="G168">
        <f t="shared" si="3"/>
        <v>168.44067649312481</v>
      </c>
    </row>
    <row r="169" spans="1:7" x14ac:dyDescent="0.2">
      <c r="A169">
        <f>A168+'Inputs &amp; Outputs'!$B$6</f>
        <v>4.1971677851959814</v>
      </c>
      <c r="B169">
        <f>B168+C169*'Inputs &amp; Outputs'!$B$6</f>
        <v>5.8933413607191198</v>
      </c>
      <c r="C169">
        <f>C168+D168*'Inputs &amp; Outputs'!$B$6</f>
        <v>-2.856761022779382</v>
      </c>
      <c r="D169">
        <f>(-'Inputs &amp; Outputs'!$B$4*B169)/'Inputs &amp; Outputs'!$B$5</f>
        <v>-1.47333534017978</v>
      </c>
      <c r="E169">
        <f>1/2*'Inputs &amp; Outputs'!$B$5*'Iterative Steps'!C169^2</f>
        <v>81.610835412715005</v>
      </c>
      <c r="F169">
        <f>1/2*'Inputs &amp; Outputs'!$B$4*'Iterative Steps'!B169^2</f>
        <v>86.828680984906725</v>
      </c>
      <c r="G169">
        <f t="shared" si="3"/>
        <v>168.43951639762173</v>
      </c>
    </row>
    <row r="170" spans="1:7" x14ac:dyDescent="0.2">
      <c r="A170">
        <f>A169+'Inputs &amp; Outputs'!$B$6</f>
        <v>4.2223005264247</v>
      </c>
      <c r="B170">
        <f>B169+C170*'Inputs &amp; Outputs'!$B$6</f>
        <v>5.8206124860160227</v>
      </c>
      <c r="C170">
        <f>C169+D169*'Inputs &amp; Outputs'!$B$6</f>
        <v>-2.8937899786272463</v>
      </c>
      <c r="D170">
        <f>(-'Inputs &amp; Outputs'!$B$4*B170)/'Inputs &amp; Outputs'!$B$5</f>
        <v>-1.4551531215040057</v>
      </c>
      <c r="E170">
        <f>1/2*'Inputs &amp; Outputs'!$B$5*'Iterative Steps'!C170^2</f>
        <v>83.740204404034785</v>
      </c>
      <c r="F170">
        <f>1/2*'Inputs &amp; Outputs'!$B$4*'Iterative Steps'!B170^2</f>
        <v>84.698824280914067</v>
      </c>
      <c r="G170">
        <f t="shared" si="3"/>
        <v>168.43902868494885</v>
      </c>
    </row>
    <row r="171" spans="1:7" x14ac:dyDescent="0.2">
      <c r="A171">
        <f>A170+'Inputs &amp; Outputs'!$B$6</f>
        <v>4.2474332676534186</v>
      </c>
      <c r="B171">
        <f>B170+C171*'Inputs &amp; Outputs'!$B$6</f>
        <v>5.7469644570311811</v>
      </c>
      <c r="C171">
        <f>C170+D170*'Inputs &amp; Outputs'!$B$6</f>
        <v>-2.9303619654781681</v>
      </c>
      <c r="D171">
        <f>(-'Inputs &amp; Outputs'!$B$4*B171)/'Inputs &amp; Outputs'!$B$5</f>
        <v>-1.4367411142577953</v>
      </c>
      <c r="E171">
        <f>1/2*'Inputs &amp; Outputs'!$B$5*'Iterative Steps'!C171^2</f>
        <v>85.870212487210722</v>
      </c>
      <c r="F171">
        <f>1/2*'Inputs &amp; Outputs'!$B$4*'Iterative Steps'!B171^2</f>
        <v>82.569001175949239</v>
      </c>
      <c r="G171">
        <f t="shared" si="3"/>
        <v>168.43921366315996</v>
      </c>
    </row>
    <row r="172" spans="1:7" x14ac:dyDescent="0.2">
      <c r="A172">
        <f>A171+'Inputs &amp; Outputs'!$B$6</f>
        <v>4.2725660088821371</v>
      </c>
      <c r="B172">
        <f>B171+C172*'Inputs &amp; Outputs'!$B$6</f>
        <v>5.6724089037951719</v>
      </c>
      <c r="C172">
        <f>C171+D171*'Inputs &amp; Outputs'!$B$6</f>
        <v>-2.9664712081154696</v>
      </c>
      <c r="D172">
        <f>(-'Inputs &amp; Outputs'!$B$4*B172)/'Inputs &amp; Outputs'!$B$5</f>
        <v>-1.418102225948793</v>
      </c>
      <c r="E172">
        <f>1/2*'Inputs &amp; Outputs'!$B$5*'Iterative Steps'!C172^2</f>
        <v>87.999514285780535</v>
      </c>
      <c r="F172">
        <f>1/2*'Inputs &amp; Outputs'!$B$4*'Iterative Steps'!B172^2</f>
        <v>80.44055692963687</v>
      </c>
      <c r="G172">
        <f t="shared" si="3"/>
        <v>168.44007121541739</v>
      </c>
    </row>
    <row r="173" spans="1:7" x14ac:dyDescent="0.2">
      <c r="A173">
        <f>A172+'Inputs &amp; Outputs'!$B$6</f>
        <v>4.2976987501108557</v>
      </c>
      <c r="B173">
        <f>B172+C173*'Inputs &amp; Outputs'!$B$6</f>
        <v>5.5969575996490555</v>
      </c>
      <c r="C173">
        <f>C172+D172*'Inputs &amp; Outputs'!$B$6</f>
        <v>-3.00211200439611</v>
      </c>
      <c r="D173">
        <f>(-'Inputs &amp; Outputs'!$B$4*B173)/'Inputs &amp; Outputs'!$B$5</f>
        <v>-1.3992393999122639</v>
      </c>
      <c r="E173">
        <f>1/2*'Inputs &amp; Outputs'!$B$5*'Iterative Steps'!C173^2</f>
        <v>90.126764869392289</v>
      </c>
      <c r="F173">
        <f>1/2*'Inputs &amp; Outputs'!$B$4*'Iterative Steps'!B173^2</f>
        <v>78.314835930673297</v>
      </c>
      <c r="G173">
        <f t="shared" si="3"/>
        <v>168.4416008000656</v>
      </c>
    </row>
    <row r="174" spans="1:7" x14ac:dyDescent="0.2">
      <c r="A174">
        <f>A173+'Inputs &amp; Outputs'!$B$6</f>
        <v>4.3228314913395742</v>
      </c>
      <c r="B174">
        <f>B173+C174*'Inputs &amp; Outputs'!$B$6</f>
        <v>5.5206224593852076</v>
      </c>
      <c r="C174">
        <f>C173+D173*'Inputs &amp; Outputs'!$B$6</f>
        <v>-3.0372787261511323</v>
      </c>
      <c r="D174">
        <f>(-'Inputs &amp; Outputs'!$B$4*B174)/'Inputs &amp; Outputs'!$B$5</f>
        <v>-1.3801556148463019</v>
      </c>
      <c r="E174">
        <f>1/2*'Inputs &amp; Outputs'!$B$5*'Iterative Steps'!C174^2</f>
        <v>92.250620603302451</v>
      </c>
      <c r="F174">
        <f>1/2*'Inputs &amp; Outputs'!$B$4*'Iterative Steps'!B174^2</f>
        <v>76.193180847670945</v>
      </c>
      <c r="G174">
        <f t="shared" si="3"/>
        <v>168.44380145097341</v>
      </c>
    </row>
    <row r="175" spans="1:7" x14ac:dyDescent="0.2">
      <c r="A175">
        <f>A174+'Inputs &amp; Outputs'!$B$6</f>
        <v>4.3479642325682928</v>
      </c>
      <c r="B175">
        <f>B174+C175*'Inputs &amp; Outputs'!$B$6</f>
        <v>5.4434155373658095</v>
      </c>
      <c r="C175">
        <f>C174+D174*'Inputs &amp; Outputs'!$B$6</f>
        <v>-3.0719658200744271</v>
      </c>
      <c r="D175">
        <f>(-'Inputs &amp; Outputs'!$B$4*B175)/'Inputs &amp; Outputs'!$B$5</f>
        <v>-1.3608538843414524</v>
      </c>
      <c r="E175">
        <f>1/2*'Inputs &amp; Outputs'!$B$5*'Iterative Steps'!C175^2</f>
        <v>94.369739997055461</v>
      </c>
      <c r="F175">
        <f>1/2*'Inputs &amp; Outputs'!$B$4*'Iterative Steps'!B175^2</f>
        <v>74.07693178108876</v>
      </c>
      <c r="G175">
        <f t="shared" si="3"/>
        <v>168.44667177814421</v>
      </c>
    </row>
    <row r="176" spans="1:7" x14ac:dyDescent="0.2">
      <c r="A176">
        <f>A175+'Inputs &amp; Outputs'!$B$6</f>
        <v>4.3730969737970113</v>
      </c>
      <c r="B176">
        <f>B175+C176*'Inputs &amp; Outputs'!$B$6</f>
        <v>5.3653490256192988</v>
      </c>
      <c r="C176">
        <f>C175+D175*'Inputs &amp; Outputs'!$B$6</f>
        <v>-3.1061678085996771</v>
      </c>
      <c r="D176">
        <f>(-'Inputs &amp; Outputs'!$B$4*B176)/'Inputs &amp; Outputs'!$B$5</f>
        <v>-1.3413372564048247</v>
      </c>
      <c r="E176">
        <f>1/2*'Inputs &amp; Outputs'!$B$5*'Iterative Steps'!C176^2</f>
        <v>96.482784551809203</v>
      </c>
      <c r="F176">
        <f>1/2*'Inputs &amp; Outputs'!$B$4*'Iterative Steps'!B176^2</f>
        <v>71.967425416784906</v>
      </c>
      <c r="G176">
        <f t="shared" si="3"/>
        <v>168.45020996859409</v>
      </c>
    </row>
    <row r="177" spans="1:7" x14ac:dyDescent="0.2">
      <c r="A177">
        <f>A176+'Inputs &amp; Outputs'!$B$6</f>
        <v>4.3982297150257299</v>
      </c>
      <c r="B177">
        <f>B176+C177*'Inputs &amp; Outputs'!$B$6</f>
        <v>5.2864352519150817</v>
      </c>
      <c r="C177">
        <f>C176+D176*'Inputs &amp; Outputs'!$B$6</f>
        <v>-3.1398792907653386</v>
      </c>
      <c r="D177">
        <f>(-'Inputs &amp; Outputs'!$B$4*B177)/'Inputs &amp; Outputs'!$B$5</f>
        <v>-1.3216088129787704</v>
      </c>
      <c r="E177">
        <f>1/2*'Inputs &amp; Outputs'!$B$5*'Iterative Steps'!C177^2</f>
        <v>98.588419605770454</v>
      </c>
      <c r="F177">
        <f>1/2*'Inputs &amp; Outputs'!$B$4*'Iterative Steps'!B177^2</f>
        <v>69.86599418172618</v>
      </c>
      <c r="G177">
        <f t="shared" si="3"/>
        <v>168.45441378749663</v>
      </c>
    </row>
    <row r="178" spans="1:7" x14ac:dyDescent="0.2">
      <c r="A178">
        <f>A177+'Inputs &amp; Outputs'!$B$6</f>
        <v>4.4233624562544485</v>
      </c>
      <c r="B178">
        <f>B177+C178*'Inputs &amp; Outputs'!$B$6</f>
        <v>5.206686677816811</v>
      </c>
      <c r="C178">
        <f>C177+D177*'Inputs &amp; Outputs'!$B$6</f>
        <v>-3.1730949430675275</v>
      </c>
      <c r="D178">
        <f>(-'Inputs &amp; Outputs'!$B$4*B178)/'Inputs &amp; Outputs'!$B$5</f>
        <v>-1.3016716694542028</v>
      </c>
      <c r="E178">
        <f>1/2*'Inputs &amp; Outputs'!$B$5*'Iterative Steps'!C178^2</f>
        <v>100.68531517720716</v>
      </c>
      <c r="F178">
        <f>1/2*'Inputs &amp; Outputs'!$B$4*'Iterative Steps'!B178^2</f>
        <v>67.77396540238766</v>
      </c>
      <c r="G178">
        <f t="shared" si="3"/>
        <v>168.4592805795948</v>
      </c>
    </row>
    <row r="179" spans="1:7" x14ac:dyDescent="0.2">
      <c r="A179">
        <f>A178+'Inputs &amp; Outputs'!$B$6</f>
        <v>4.448495197483167</v>
      </c>
      <c r="B179">
        <f>B178+C179*'Inputs &amp; Outputs'!$B$6</f>
        <v>5.1261158967145324</v>
      </c>
      <c r="C179">
        <f>C178+D178*'Inputs &amp; Outputs'!$B$6</f>
        <v>-3.2058095203006736</v>
      </c>
      <c r="D179">
        <f>(-'Inputs &amp; Outputs'!$B$4*B179)/'Inputs &amp; Outputs'!$B$5</f>
        <v>-1.2815289741786331</v>
      </c>
      <c r="E179">
        <f>1/2*'Inputs &amp; Outputs'!$B$5*'Iterative Steps'!C179^2</f>
        <v>102.77214680450435</v>
      </c>
      <c r="F179">
        <f>1/2*'Inputs &amp; Outputs'!$B$4*'Iterative Steps'!B179^2</f>
        <v>65.692660466373582</v>
      </c>
      <c r="G179">
        <f t="shared" si="3"/>
        <v>168.46480727087794</v>
      </c>
    </row>
    <row r="180" spans="1:7" x14ac:dyDescent="0.2">
      <c r="A180">
        <f>A179+'Inputs &amp; Outputs'!$B$6</f>
        <v>4.4736279387118856</v>
      </c>
      <c r="B180">
        <f>B179+C180*'Inputs &amp; Outputs'!$B$6</f>
        <v>5.0447356318360184</v>
      </c>
      <c r="C180">
        <f>C179+D179*'Inputs &amp; Outputs'!$B$6</f>
        <v>-3.23801785638581</v>
      </c>
      <c r="D180">
        <f>(-'Inputs &amp; Outputs'!$B$4*B180)/'Inputs &amp; Outputs'!$B$5</f>
        <v>-1.2611839079590046</v>
      </c>
      <c r="E180">
        <f>1/2*'Inputs &amp; Outputs'!$B$5*'Iterative Steps'!C180^2</f>
        <v>104.84759638273357</v>
      </c>
      <c r="F180">
        <f>1/2*'Inputs &amp; Outputs'!$B$4*'Iterative Steps'!B180^2</f>
        <v>63.623393987789882</v>
      </c>
      <c r="G180">
        <f t="shared" si="3"/>
        <v>168.47099037052345</v>
      </c>
    </row>
    <row r="181" spans="1:7" x14ac:dyDescent="0.2">
      <c r="A181">
        <f>A180+'Inputs &amp; Outputs'!$B$6</f>
        <v>4.4987606799406041</v>
      </c>
      <c r="B181">
        <f>B180+C181*'Inputs &amp; Outputs'!$B$6</f>
        <v>4.9625587342375956</v>
      </c>
      <c r="C181">
        <f>C180+D180*'Inputs &amp; Outputs'!$B$6</f>
        <v>-3.2697148651863674</v>
      </c>
      <c r="D181">
        <f>(-'Inputs &amp; Outputs'!$B$4*B181)/'Inputs &amp; Outputs'!$B$5</f>
        <v>-1.2406396835593989</v>
      </c>
      <c r="E181">
        <f>1/2*'Inputs &amp; Outputs'!$B$5*'Iterative Steps'!C181^2</f>
        <v>106.91035299620705</v>
      </c>
      <c r="F181">
        <f>1/2*'Inputs &amp; Outputs'!$B$4*'Iterative Steps'!B181^2</f>
        <v>61.567472976894621</v>
      </c>
      <c r="G181">
        <f t="shared" si="3"/>
        <v>168.47782597310169</v>
      </c>
    </row>
    <row r="182" spans="1:7" x14ac:dyDescent="0.2">
      <c r="A182">
        <f>A181+'Inputs &amp; Outputs'!$B$6</f>
        <v>4.5238934211693227</v>
      </c>
      <c r="B182">
        <f>B181+C182*'Inputs &amp; Outputs'!$B$6</f>
        <v>4.8795981807747877</v>
      </c>
      <c r="C182">
        <f>C181+D181*'Inputs &amp; Outputs'!$B$6</f>
        <v>-3.3008955413113448</v>
      </c>
      <c r="D182">
        <f>(-'Inputs &amp; Outputs'!$B$4*B182)/'Inputs &amp; Outputs'!$B$5</f>
        <v>-1.2198995451936969</v>
      </c>
      <c r="E182">
        <f>1/2*'Inputs &amp; Outputs'!$B$5*'Iterative Steps'!C182^2</f>
        <v>108.95911374649116</v>
      </c>
      <c r="F182">
        <f>1/2*'Inputs &amp; Outputs'!$B$4*'Iterative Steps'!B182^2</f>
        <v>59.526196014551545</v>
      </c>
      <c r="G182">
        <f t="shared" si="3"/>
        <v>168.48530976104269</v>
      </c>
    </row>
    <row r="183" spans="1:7" x14ac:dyDescent="0.2">
      <c r="A183">
        <f>A182+'Inputs &amp; Outputs'!$B$6</f>
        <v>4.5490261623980413</v>
      </c>
      <c r="B183">
        <f>B182+C183*'Inputs &amp; Outputs'!$B$6</f>
        <v>4.7958670720530909</v>
      </c>
      <c r="C183">
        <f>C182+D182*'Inputs &amp; Outputs'!$B$6</f>
        <v>-3.3315549609057293</v>
      </c>
      <c r="D183">
        <f>(-'Inputs &amp; Outputs'!$B$4*B183)/'Inputs &amp; Outputs'!$B$5</f>
        <v>-1.1989667680132727</v>
      </c>
      <c r="E183">
        <f>1/2*'Inputs &amp; Outputs'!$B$5*'Iterative Steps'!C183^2</f>
        <v>110.99258457535576</v>
      </c>
      <c r="F183">
        <f>1/2*'Inputs &amp; Outputs'!$B$4*'Iterative Steps'!B183^2</f>
        <v>57.500852432007719</v>
      </c>
      <c r="G183">
        <f t="shared" si="3"/>
        <v>168.49343700736347</v>
      </c>
    </row>
    <row r="184" spans="1:7" x14ac:dyDescent="0.2">
      <c r="A184">
        <f>A183+'Inputs &amp; Outputs'!$B$6</f>
        <v>4.5741589036267598</v>
      </c>
      <c r="B184">
        <f>B183+C184*'Inputs &amp; Outputs'!$B$6</f>
        <v>4.7113786303592127</v>
      </c>
      <c r="C184">
        <f>C183+D183*'Inputs &amp; Outputs'!$B$6</f>
        <v>-3.3616882824280396</v>
      </c>
      <c r="D184">
        <f>(-'Inputs &amp; Outputs'!$B$4*B184)/'Inputs &amp; Outputs'!$B$5</f>
        <v>-1.1778446575898032</v>
      </c>
      <c r="E184">
        <f>1/2*'Inputs &amp; Outputs'!$B$5*'Iterative Steps'!C184^2</f>
        <v>113.00948108213984</v>
      </c>
      <c r="F184">
        <f>1/2*'Inputs &amp; Outputs'!$B$4*'Iterative Steps'!B184^2</f>
        <v>55.492721496513624</v>
      </c>
      <c r="G184">
        <f t="shared" si="3"/>
        <v>168.50220257865345</v>
      </c>
    </row>
    <row r="185" spans="1:7" x14ac:dyDescent="0.2">
      <c r="A185">
        <f>A184+'Inputs &amp; Outputs'!$B$6</f>
        <v>4.5992916448554784</v>
      </c>
      <c r="B185">
        <f>B184+C185*'Inputs &amp; Outputs'!$B$6</f>
        <v>4.626146197573088</v>
      </c>
      <c r="C185">
        <f>C184+D184*'Inputs &amp; Outputs'!$B$6</f>
        <v>-3.3912907474148724</v>
      </c>
      <c r="D185">
        <f>(-'Inputs &amp; Outputs'!$B$4*B185)/'Inputs &amp; Outputs'!$B$5</f>
        <v>-1.156536549393272</v>
      </c>
      <c r="E185">
        <f>1/2*'Inputs &amp; Outputs'!$B$5*'Iterative Steps'!C185^2</f>
        <v>115.00852933501724</v>
      </c>
      <c r="F185">
        <f>1/2*'Inputs &amp; Outputs'!$B$4*'Iterative Steps'!B185^2</f>
        <v>53.503071603299844</v>
      </c>
      <c r="G185">
        <f t="shared" si="3"/>
        <v>168.51160093831709</v>
      </c>
    </row>
    <row r="186" spans="1:7" x14ac:dyDescent="0.2">
      <c r="A186">
        <f>A185+'Inputs &amp; Outputs'!$B$6</f>
        <v>4.6244243860841969</v>
      </c>
      <c r="B186">
        <f>B185+C186*'Inputs &amp; Outputs'!$B$6</f>
        <v>4.5401832330610166</v>
      </c>
      <c r="C186">
        <f>C185+D185*'Inputs &amp; Outputs'!$B$6</f>
        <v>-3.4203576812323284</v>
      </c>
      <c r="D186">
        <f>(-'Inputs &amp; Outputs'!$B$4*B186)/'Inputs &amp; Outputs'!$B$5</f>
        <v>-1.1350458082652541</v>
      </c>
      <c r="E186">
        <f>1/2*'Inputs &amp; Outputs'!$B$5*'Iterative Steps'!C186^2</f>
        <v>116.9884666756499</v>
      </c>
      <c r="F186">
        <f>1/2*'Inputs &amp; Outputs'!$B$4*'Iterative Steps'!B186^2</f>
        <v>51.533159474420962</v>
      </c>
      <c r="G186">
        <f t="shared" si="3"/>
        <v>168.52162615007086</v>
      </c>
    </row>
    <row r="187" spans="1:7" x14ac:dyDescent="0.2">
      <c r="A187">
        <f>A186+'Inputs &amp; Outputs'!$B$6</f>
        <v>4.6495571273129155</v>
      </c>
      <c r="B187">
        <f>B186+C187*'Inputs &amp; Outputs'!$B$6</f>
        <v>4.4535033115502447</v>
      </c>
      <c r="C187">
        <f>C186+D186*'Inputs &amp; Outputs'!$B$6</f>
        <v>-3.4488844938142007</v>
      </c>
      <c r="D187">
        <f>(-'Inputs &amp; Outputs'!$B$4*B187)/'Inputs &amp; Outputs'!$B$5</f>
        <v>-1.1133758278875612</v>
      </c>
      <c r="E187">
        <f>1/2*'Inputs &amp; Outputs'!$B$5*'Iterative Steps'!C187^2</f>
        <v>118.94804251672035</v>
      </c>
      <c r="F187">
        <f>1/2*'Inputs &amp; Outputs'!$B$4*'Iterative Steps'!B187^2</f>
        <v>49.584229364972494</v>
      </c>
      <c r="G187">
        <f t="shared" si="3"/>
        <v>168.53227188169285</v>
      </c>
    </row>
    <row r="188" spans="1:7" x14ac:dyDescent="0.2">
      <c r="A188">
        <f>A187+'Inputs &amp; Outputs'!$B$6</f>
        <v>4.674689868541634</v>
      </c>
      <c r="B188">
        <f>B187+C188*'Inputs &amp; Outputs'!$B$6</f>
        <v>4.3661201209853298</v>
      </c>
      <c r="C188">
        <f>C187+D187*'Inputs &amp; Outputs'!$B$6</f>
        <v>-3.4768666803868089</v>
      </c>
      <c r="D188">
        <f>(-'Inputs &amp; Outputs'!$B$4*B188)/'Inputs &amp; Outputs'!$B$5</f>
        <v>-1.0915300302463324</v>
      </c>
      <c r="E188">
        <f>1/2*'Inputs &amp; Outputs'!$B$5*'Iterative Steps'!C188^2</f>
        <v>120.88601913183987</v>
      </c>
      <c r="F188">
        <f>1/2*'Inputs &amp; Outputs'!$B$4*'Iterative Steps'!B188^2</f>
        <v>47.657512277182377</v>
      </c>
      <c r="G188">
        <f t="shared" si="3"/>
        <v>168.54353140902225</v>
      </c>
    </row>
    <row r="189" spans="1:7" x14ac:dyDescent="0.2">
      <c r="A189">
        <f>A188+'Inputs &amp; Outputs'!$B$6</f>
        <v>4.6998226097703526</v>
      </c>
      <c r="B189">
        <f>B188+C189*'Inputs &amp; Outputs'!$B$6</f>
        <v>4.2780474603666265</v>
      </c>
      <c r="C189">
        <f>C188+D188*'Inputs &amp; Outputs'!$B$6</f>
        <v>-3.5042998221803652</v>
      </c>
      <c r="D189">
        <f>(-'Inputs &amp; Outputs'!$B$4*B189)/'Inputs &amp; Outputs'!$B$5</f>
        <v>-1.0695118650916566</v>
      </c>
      <c r="E189">
        <f>1/2*'Inputs &amp; Outputs'!$B$5*'Iterative Steps'!C189^2</f>
        <v>122.80117243733338</v>
      </c>
      <c r="F189">
        <f>1/2*'Inputs &amp; Outputs'!$B$4*'Iterative Steps'!B189^2</f>
        <v>45.754225182873355</v>
      </c>
      <c r="G189">
        <f t="shared" si="3"/>
        <v>168.55539762020675</v>
      </c>
    </row>
    <row r="190" spans="1:7" x14ac:dyDescent="0.2">
      <c r="A190">
        <f>A189+'Inputs &amp; Outputs'!$B$6</f>
        <v>4.7249553509990712</v>
      </c>
      <c r="B190">
        <f>B189+C190*'Inputs &amp; Outputs'!$B$6</f>
        <v>4.1892992375712375</v>
      </c>
      <c r="C190">
        <f>C189+D189*'Inputs &amp; Outputs'!$B$6</f>
        <v>-3.5311795871267577</v>
      </c>
      <c r="D190">
        <f>(-'Inputs &amp; Outputs'!$B$4*B190)/'Inputs &amp; Outputs'!$B$5</f>
        <v>-1.0473248093928094</v>
      </c>
      <c r="E190">
        <f>1/2*'Inputs &amp; Outputs'!$B$5*'Iterative Steps'!C190^2</f>
        <v>124.692292765407</v>
      </c>
      <c r="F190">
        <f>1/2*'Inputs &amp; Outputs'!$B$4*'Iterative Steps'!B190^2</f>
        <v>43.875570254787377</v>
      </c>
      <c r="G190">
        <f t="shared" si="3"/>
        <v>168.56786302019438</v>
      </c>
    </row>
    <row r="191" spans="1:7" x14ac:dyDescent="0.2">
      <c r="A191">
        <f>A190+'Inputs &amp; Outputs'!$B$6</f>
        <v>4.7500880922277897</v>
      </c>
      <c r="B191">
        <f>B190+C191*'Inputs &amp; Outputs'!$B$6</f>
        <v>4.0998894671567667</v>
      </c>
      <c r="C191">
        <f>C190+D190*'Inputs &amp; Outputs'!$B$6</f>
        <v>-3.557501730543644</v>
      </c>
      <c r="D191">
        <f>(-'Inputs &amp; Outputs'!$B$4*B191)/'Inputs &amp; Outputs'!$B$5</f>
        <v>-1.0249723667891917</v>
      </c>
      <c r="E191">
        <f>1/2*'Inputs &amp; Outputs'!$B$5*'Iterative Steps'!C191^2</f>
        <v>126.55818562821023</v>
      </c>
      <c r="F191">
        <f>1/2*'Inputs &amp; Outputs'!$B$4*'Iterative Steps'!B191^2</f>
        <v>42.022734107257492</v>
      </c>
      <c r="G191">
        <f t="shared" si="3"/>
        <v>168.58091973546772</v>
      </c>
    </row>
    <row r="192" spans="1:7" x14ac:dyDescent="0.2">
      <c r="A192">
        <f>A191+'Inputs &amp; Outputs'!$B$6</f>
        <v>4.7752208334565083</v>
      </c>
      <c r="B192">
        <f>B191+C192*'Inputs &amp; Outputs'!$B$6</f>
        <v>4.009832268148231</v>
      </c>
      <c r="C192">
        <f>C191+D191*'Inputs &amp; Outputs'!$B$6</f>
        <v>-3.5832620958047436</v>
      </c>
      <c r="D192">
        <f>(-'Inputs &amp; Outputs'!$B$4*B192)/'Inputs &amp; Outputs'!$B$5</f>
        <v>-1.0024580670370578</v>
      </c>
      <c r="E192">
        <f>1/2*'Inputs &amp; Outputs'!$B$5*'Iterative Steps'!C192^2</f>
        <v>128.39767247231003</v>
      </c>
      <c r="F192">
        <f>1/2*'Inputs &amp; Outputs'!$B$4*'Iterative Steps'!B192^2</f>
        <v>40.196887046706962</v>
      </c>
      <c r="G192">
        <f t="shared" si="3"/>
        <v>168.594559519017</v>
      </c>
    </row>
    <row r="193" spans="1:7" x14ac:dyDescent="0.2">
      <c r="A193">
        <f>A192+'Inputs &amp; Outputs'!$B$6</f>
        <v>4.8003535746852268</v>
      </c>
      <c r="B193">
        <f>B192+C193*'Inputs &amp; Outputs'!$B$6</f>
        <v>3.9191418618084737</v>
      </c>
      <c r="C193">
        <f>C192+D192*'Inputs &amp; Outputs'!$B$6</f>
        <v>-3.6084566149962272</v>
      </c>
      <c r="D193">
        <f>(-'Inputs &amp; Outputs'!$B$4*B193)/'Inputs &amp; Outputs'!$B$5</f>
        <v>-0.97978546545211853</v>
      </c>
      <c r="E193">
        <f>1/2*'Inputs &amp; Outputs'!$B$5*'Iterative Steps'!C193^2</f>
        <v>130.20959142310031</v>
      </c>
      <c r="F193">
        <f>1/2*'Inputs &amp; Outputs'!$B$4*'Iterative Steps'!B193^2</f>
        <v>38.399182332448973</v>
      </c>
      <c r="G193">
        <f t="shared" si="3"/>
        <v>168.60877375554929</v>
      </c>
    </row>
    <row r="194" spans="1:7" x14ac:dyDescent="0.2">
      <c r="A194">
        <f>A193+'Inputs &amp; Outputs'!$B$6</f>
        <v>4.8254863159139454</v>
      </c>
      <c r="B194">
        <f>B193+C194*'Inputs &amp; Outputs'!$B$6</f>
        <v>3.8278325693924318</v>
      </c>
      <c r="C194">
        <f>C193+D193*'Inputs &amp; Outputs'!$B$6</f>
        <v>-3.6330813095590946</v>
      </c>
      <c r="D194">
        <f>(-'Inputs &amp; Outputs'!$B$4*B194)/'Inputs &amp; Outputs'!$B$5</f>
        <v>-0.95695814234810794</v>
      </c>
      <c r="E194">
        <f>1/2*'Inputs &amp; Outputs'!$B$5*'Iterative Steps'!C194^2</f>
        <v>131.99279801867624</v>
      </c>
      <c r="F194">
        <f>1/2*'Inputs &amp; Outputs'!$B$4*'Iterative Steps'!B194^2</f>
        <v>36.630755448253666</v>
      </c>
      <c r="G194">
        <f t="shared" si="3"/>
        <v>168.62355346692991</v>
      </c>
    </row>
    <row r="195" spans="1:7" x14ac:dyDescent="0.2">
      <c r="A195">
        <f>A194+'Inputs &amp; Outputs'!$B$6</f>
        <v>4.8506190571426639</v>
      </c>
      <c r="B195">
        <f>B194+C195*'Inputs &amp; Outputs'!$B$6</f>
        <v>3.7359188098856135</v>
      </c>
      <c r="C195">
        <f>C194+D194*'Inputs &amp; Outputs'!$B$6</f>
        <v>-3.6571322909174446</v>
      </c>
      <c r="D195">
        <f>(-'Inputs &amp; Outputs'!$B$4*B195)/'Inputs &amp; Outputs'!$B$5</f>
        <v>-0.93397970247140338</v>
      </c>
      <c r="E195">
        <f>1/2*'Inputs &amp; Outputs'!$B$5*'Iterative Steps'!C195^2</f>
        <v>133.74616593271077</v>
      </c>
      <c r="F195">
        <f>1/2*'Inputs &amp; Outputs'!$B$4*'Iterative Steps'!B195^2</f>
        <v>34.892723385142844</v>
      </c>
      <c r="G195">
        <f t="shared" ref="G195:G258" si="4">SUM(E195:F195)</f>
        <v>168.63888931785363</v>
      </c>
    </row>
    <row r="196" spans="1:7" x14ac:dyDescent="0.2">
      <c r="A196">
        <f>A195+'Inputs &amp; Outputs'!$B$6</f>
        <v>4.8757517983713825</v>
      </c>
      <c r="B196">
        <f>B195+C196*'Inputs &amp; Outputs'!$B$6</f>
        <v>3.6434150977271451</v>
      </c>
      <c r="C196">
        <f>C195+D195*'Inputs &amp; Outputs'!$B$6</f>
        <v>-3.6806057610925338</v>
      </c>
      <c r="D196">
        <f>(-'Inputs &amp; Outputs'!$B$4*B196)/'Inputs &amp; Outputs'!$B$5</f>
        <v>-0.91085377443178628</v>
      </c>
      <c r="E196">
        <f>1/2*'Inputs &amp; Outputs'!$B$5*'Iterative Steps'!C196^2</f>
        <v>135.46858768587549</v>
      </c>
      <c r="F196">
        <f>1/2*'Inputs &amp; Outputs'!$B$4*'Iterative Steps'!B196^2</f>
        <v>33.186183935865252</v>
      </c>
      <c r="G196">
        <f t="shared" si="4"/>
        <v>168.65477162174074</v>
      </c>
    </row>
    <row r="197" spans="1:7" x14ac:dyDescent="0.2">
      <c r="A197">
        <f>A196+'Inputs &amp; Outputs'!$B$6</f>
        <v>4.9008845396001011</v>
      </c>
      <c r="B197">
        <f>B196+C197*'Inputs &amp; Outputs'!$B$6</f>
        <v>3.55033604051774</v>
      </c>
      <c r="C197">
        <f>C196+D196*'Inputs &amp; Outputs'!$B$6</f>
        <v>-3.7034980133025295</v>
      </c>
      <c r="D197">
        <f>(-'Inputs &amp; Outputs'!$B$4*B197)/'Inputs &amp; Outputs'!$B$5</f>
        <v>-0.88758401012943511</v>
      </c>
      <c r="E197">
        <f>1/2*'Inputs &amp; Outputs'!$B$5*'Iterative Steps'!C197^2</f>
        <v>137.15897534535782</v>
      </c>
      <c r="F197">
        <f>1/2*'Inputs &amp; Outputs'!$B$4*'Iterative Steps'!B197^2</f>
        <v>31.512215001497957</v>
      </c>
      <c r="G197">
        <f t="shared" si="4"/>
        <v>168.67119034685578</v>
      </c>
    </row>
    <row r="198" spans="1:7" x14ac:dyDescent="0.2">
      <c r="A198">
        <f>A197+'Inputs &amp; Outputs'!$B$6</f>
        <v>4.9260172808288196</v>
      </c>
      <c r="B198">
        <f>B197+C198*'Inputs &amp; Outputs'!$B$6</f>
        <v>3.4566963367129615</v>
      </c>
      <c r="C198">
        <f>C197+D197*'Inputs &amp; Outputs'!$B$6</f>
        <v>-3.7258054325478609</v>
      </c>
      <c r="D198">
        <f>(-'Inputs &amp; Outputs'!$B$4*B198)/'Inputs &amp; Outputs'!$B$5</f>
        <v>-0.86417408417824038</v>
      </c>
      <c r="E198">
        <f>1/2*'Inputs &amp; Outputs'!$B$5*'Iterative Steps'!C198^2</f>
        <v>138.81626121203152</v>
      </c>
      <c r="F198">
        <f>1/2*'Inputs &amp; Outputs'!$B$4*'Iterative Steps'!B198^2</f>
        <v>29.87187391061202</v>
      </c>
      <c r="G198">
        <f t="shared" si="4"/>
        <v>168.68813512264353</v>
      </c>
    </row>
    <row r="199" spans="1:7" x14ac:dyDescent="0.2">
      <c r="A199">
        <f>A198+'Inputs &amp; Outputs'!$B$6</f>
        <v>4.9511500220575382</v>
      </c>
      <c r="B199">
        <f>B198+C199*'Inputs &amp; Outputs'!$B$6</f>
        <v>3.3625107733021342</v>
      </c>
      <c r="C199">
        <f>C198+D198*'Inputs &amp; Outputs'!$B$6</f>
        <v>-3.7475244961820771</v>
      </c>
      <c r="D199">
        <f>(-'Inputs &amp; Outputs'!$B$4*B199)/'Inputs &amp; Outputs'!$B$5</f>
        <v>-0.84062769332553366</v>
      </c>
      <c r="E199">
        <f>1/2*'Inputs &amp; Outputs'!$B$5*'Iterative Steps'!C199^2</f>
        <v>140.4393984948473</v>
      </c>
      <c r="F199">
        <f>1/2*'Inputs &amp; Outputs'!$B$4*'Iterative Steps'!B199^2</f>
        <v>28.266196751432293</v>
      </c>
      <c r="G199">
        <f t="shared" si="4"/>
        <v>168.70559524627959</v>
      </c>
    </row>
    <row r="200" spans="1:7" x14ac:dyDescent="0.2">
      <c r="A200">
        <f>A199+'Inputs &amp; Outputs'!$B$6</f>
        <v>4.9762827632862567</v>
      </c>
      <c r="B200">
        <f>B199+C200*'Inputs &amp; Outputs'!$B$6</f>
        <v>3.2677942234732766</v>
      </c>
      <c r="C200">
        <f>C199+D199*'Inputs &amp; Outputs'!$B$6</f>
        <v>-3.7686517744681223</v>
      </c>
      <c r="D200">
        <f>(-'Inputs &amp; Outputs'!$B$4*B200)/'Inputs &amp; Outputs'!$B$5</f>
        <v>-0.81694855586831916</v>
      </c>
      <c r="E200">
        <f>1/2*'Inputs &amp; Outputs'!$B$5*'Iterative Steps'!C200^2</f>
        <v>142.02736197201727</v>
      </c>
      <c r="F200">
        <f>1/2*'Inputs &amp; Outputs'!$B$4*'Iterative Steps'!B200^2</f>
        <v>26.696197717413284</v>
      </c>
      <c r="G200">
        <f t="shared" si="4"/>
        <v>168.72355968943054</v>
      </c>
    </row>
    <row r="201" spans="1:7" x14ac:dyDescent="0.2">
      <c r="A201">
        <f>A200+'Inputs &amp; Outputs'!$B$6</f>
        <v>5.0014155045149753</v>
      </c>
      <c r="B201">
        <f>B200+C201*'Inputs &amp; Outputs'!$B$6</f>
        <v>3.1725616442644218</v>
      </c>
      <c r="C201">
        <f>C200+D200*'Inputs &amp; Outputs'!$B$6</f>
        <v>-3.7891839311199358</v>
      </c>
      <c r="D201">
        <f>(-'Inputs &amp; Outputs'!$B$4*B201)/'Inputs &amp; Outputs'!$B$5</f>
        <v>-0.79314041106610544</v>
      </c>
      <c r="E201">
        <f>1/2*'Inputs &amp; Outputs'!$B$5*'Iterative Steps'!C201^2</f>
        <v>143.5791486385753</v>
      </c>
      <c r="F201">
        <f>1/2*'Inputs &amp; Outputs'!$B$4*'Iterative Steps'!B201^2</f>
        <v>25.162868466644429</v>
      </c>
      <c r="G201">
        <f t="shared" si="4"/>
        <v>168.74201710521973</v>
      </c>
    </row>
    <row r="202" spans="1:7" x14ac:dyDescent="0.2">
      <c r="A202">
        <f>A201+'Inputs &amp; Outputs'!$B$6</f>
        <v>5.0265482457436939</v>
      </c>
      <c r="B202">
        <f>B201+C202*'Inputs &amp; Outputs'!$B$6</f>
        <v>3.0768280742016954</v>
      </c>
      <c r="C202">
        <f>C201+D201*'Inputs &amp; Outputs'!$B$6</f>
        <v>-3.8091177238292997</v>
      </c>
      <c r="D202">
        <f>(-'Inputs &amp; Outputs'!$B$4*B202)/'Inputs &amp; Outputs'!$B$5</f>
        <v>-0.76920701855042384</v>
      </c>
      <c r="E202">
        <f>1/2*'Inputs &amp; Outputs'!$B$5*'Iterative Steps'!C202^2</f>
        <v>145.09377833990504</v>
      </c>
      <c r="F202">
        <f>1/2*'Inputs &amp; Outputs'!$B$4*'Iterative Steps'!B202^2</f>
        <v>23.667177495489284</v>
      </c>
      <c r="G202">
        <f t="shared" si="4"/>
        <v>168.76095583539433</v>
      </c>
    </row>
    <row r="203" spans="1:7" x14ac:dyDescent="0.2">
      <c r="A203">
        <f>A202+'Inputs &amp; Outputs'!$B$6</f>
        <v>5.0516809869724124</v>
      </c>
      <c r="B203">
        <f>B202+C203*'Inputs &amp; Outputs'!$B$6</f>
        <v>2.9806086309245283</v>
      </c>
      <c r="C203">
        <f>C202+D202*'Inputs &amp; Outputs'!$B$6</f>
        <v>-3.8284500047778414</v>
      </c>
      <c r="D203">
        <f>(-'Inputs &amp; Outputs'!$B$4*B203)/'Inputs &amp; Outputs'!$B$5</f>
        <v>-0.74515215773113208</v>
      </c>
      <c r="E203">
        <f>1/2*'Inputs &amp; Outputs'!$B$5*'Iterative Steps'!C203^2</f>
        <v>146.57029439083453</v>
      </c>
      <c r="F203">
        <f>1/2*'Inputs &amp; Outputs'!$B$4*'Iterative Steps'!B203^2</f>
        <v>22.210069526854479</v>
      </c>
      <c r="G203">
        <f t="shared" si="4"/>
        <v>168.78036391768902</v>
      </c>
    </row>
    <row r="204" spans="1:7" x14ac:dyDescent="0.2">
      <c r="A204">
        <f>A203+'Inputs &amp; Outputs'!$B$6</f>
        <v>5.076813728201131</v>
      </c>
      <c r="B204">
        <f>B203+C204*'Inputs &amp; Outputs'!$B$6</f>
        <v>2.8839185087983741</v>
      </c>
      <c r="C204">
        <f>C203+D203*'Inputs &amp; Outputs'!$B$6</f>
        <v>-3.8471777211341189</v>
      </c>
      <c r="D204">
        <f>(-'Inputs &amp; Outputs'!$B$4*B204)/'Inputs &amp; Outputs'!$B$5</f>
        <v>-0.72097962719959352</v>
      </c>
      <c r="E204">
        <f>1/2*'Inputs &amp; Outputs'!$B$5*'Iterative Steps'!C204^2</f>
        <v>148.00776417990713</v>
      </c>
      <c r="F204">
        <f>1/2*'Inputs &amp; Outputs'!$B$4*'Iterative Steps'!B204^2</f>
        <v>20.792464913474596</v>
      </c>
      <c r="G204">
        <f t="shared" si="4"/>
        <v>168.80022909338172</v>
      </c>
    </row>
    <row r="205" spans="1:7" x14ac:dyDescent="0.2">
      <c r="A205">
        <f>A204+'Inputs &amp; Outputs'!$B$6</f>
        <v>5.1019464694298495</v>
      </c>
      <c r="B205">
        <f>B204+C205*'Inputs &amp; Outputs'!$B$6</f>
        <v>2.7867729765153109</v>
      </c>
      <c r="C205">
        <f>C204+D204*'Inputs &amp; Outputs'!$B$6</f>
        <v>-3.8652979155357041</v>
      </c>
      <c r="D205">
        <f>(-'Inputs &amp; Outputs'!$B$4*B205)/'Inputs &amp; Outputs'!$B$5</f>
        <v>-0.69669324412882772</v>
      </c>
      <c r="E205">
        <f>1/2*'Inputs &amp; Outputs'!$B$5*'Iterative Steps'!C205^2</f>
        <v>149.4052797584466</v>
      </c>
      <c r="F205">
        <f>1/2*'Inputs &amp; Outputs'!$B$4*'Iterative Steps'!B205^2</f>
        <v>19.415259056590013</v>
      </c>
      <c r="G205">
        <f t="shared" si="4"/>
        <v>168.8205388150366</v>
      </c>
    </row>
    <row r="206" spans="1:7" x14ac:dyDescent="0.2">
      <c r="A206">
        <f>A205+'Inputs &amp; Outputs'!$B$6</f>
        <v>5.1270792106585681</v>
      </c>
      <c r="B206">
        <f>B205+C206*'Inputs &amp; Outputs'!$B$6</f>
        <v>2.689187374682906</v>
      </c>
      <c r="C206">
        <f>C205+D205*'Inputs &amp; Outputs'!$B$6</f>
        <v>-3.8828077265561904</v>
      </c>
      <c r="D206">
        <f>(-'Inputs &amp; Outputs'!$B$4*B206)/'Inputs &amp; Outputs'!$B$5</f>
        <v>-0.67229684367072651</v>
      </c>
      <c r="E206">
        <f>1/2*'Inputs &amp; Outputs'!$B$5*'Iterative Steps'!C206^2</f>
        <v>150.76195841404453</v>
      </c>
      <c r="F206">
        <f>1/2*'Inputs &amp; Outputs'!$B$4*'Iterative Steps'!B206^2</f>
        <v>18.079321840384853</v>
      </c>
      <c r="G206">
        <f t="shared" si="4"/>
        <v>168.84128025442939</v>
      </c>
    </row>
    <row r="207" spans="1:7" x14ac:dyDescent="0.2">
      <c r="A207">
        <f>A206+'Inputs &amp; Outputs'!$B$6</f>
        <v>5.1522119518872866</v>
      </c>
      <c r="B207">
        <f>B206+C207*'Inputs &amp; Outputs'!$B$6</f>
        <v>2.5911771134017245</v>
      </c>
      <c r="C207">
        <f>C206+D206*'Inputs &amp; Outputs'!$B$6</f>
        <v>-3.8997043891570509</v>
      </c>
      <c r="D207">
        <f>(-'Inputs &amp; Outputs'!$B$4*B207)/'Inputs &amp; Outputs'!$B$5</f>
        <v>-0.64779427835043113</v>
      </c>
      <c r="E207">
        <f>1/2*'Inputs &amp; Outputs'!$B$5*'Iterative Steps'!C207^2</f>
        <v>152.07694322810767</v>
      </c>
      <c r="F207">
        <f>1/2*'Inputs &amp; Outputs'!$B$4*'Iterative Steps'!B207^2</f>
        <v>16.785497082542232</v>
      </c>
      <c r="G207">
        <f t="shared" si="4"/>
        <v>168.8624403106499</v>
      </c>
    </row>
    <row r="208" spans="1:7" x14ac:dyDescent="0.2">
      <c r="A208">
        <f>A207+'Inputs &amp; Outputs'!$B$6</f>
        <v>5.1773446931160052</v>
      </c>
      <c r="B208">
        <f>B207+C208*'Inputs &amp; Outputs'!$B$6</f>
        <v>2.4927576698318643</v>
      </c>
      <c r="C208">
        <f>C207+D207*'Inputs &amp; Outputs'!$B$6</f>
        <v>-3.9159852351242765</v>
      </c>
      <c r="D208">
        <f>(-'Inputs &amp; Outputs'!$B$4*B208)/'Inputs &amp; Outputs'!$B$5</f>
        <v>-0.62318941745796608</v>
      </c>
      <c r="E208">
        <f>1/2*'Inputs &amp; Outputs'!$B$5*'Iterative Steps'!C208^2</f>
        <v>153.34940361711335</v>
      </c>
      <c r="F208">
        <f>1/2*'Inputs &amp; Outputs'!$B$4*'Iterative Steps'!B208^2</f>
        <v>15.534602001263965</v>
      </c>
      <c r="G208">
        <f t="shared" si="4"/>
        <v>168.88400561837733</v>
      </c>
    </row>
    <row r="209" spans="1:7" x14ac:dyDescent="0.2">
      <c r="A209">
        <f>A208+'Inputs &amp; Outputs'!$B$6</f>
        <v>5.2024774343447238</v>
      </c>
      <c r="B209">
        <f>B208+C209*'Inputs &amp; Outputs'!$B$6</f>
        <v>2.3939445857488999</v>
      </c>
      <c r="C209">
        <f>C208+D208*'Inputs &amp; Outputs'!$B$6</f>
        <v>-3.9316476934897233</v>
      </c>
      <c r="D209">
        <f>(-'Inputs &amp; Outputs'!$B$4*B209)/'Inputs &amp; Outputs'!$B$5</f>
        <v>-0.59848614643722498</v>
      </c>
      <c r="E209">
        <f>1/2*'Inputs &amp; Outputs'!$B$5*'Iterative Steps'!C209^2</f>
        <v>154.57853585723061</v>
      </c>
      <c r="F209">
        <f>1/2*'Inputs &amp; Outputs'!$B$4*'Iterative Steps'!B209^2</f>
        <v>14.327426699091179</v>
      </c>
      <c r="G209">
        <f t="shared" si="4"/>
        <v>168.90596255632178</v>
      </c>
    </row>
    <row r="210" spans="1:7" x14ac:dyDescent="0.2">
      <c r="A210">
        <f>A209+'Inputs &amp; Outputs'!$B$6</f>
        <v>5.2276101755734423</v>
      </c>
      <c r="B210">
        <f>B209+C210*'Inputs &amp; Outputs'!$B$6</f>
        <v>2.2947534650896237</v>
      </c>
      <c r="C210">
        <f>C209+D209*'Inputs &amp; Outputs'!$B$6</f>
        <v>-3.946689290937103</v>
      </c>
      <c r="D210">
        <f>(-'Inputs &amp; Outputs'!$B$4*B210)/'Inputs &amp; Outputs'!$B$5</f>
        <v>-0.57368836627240594</v>
      </c>
      <c r="E210">
        <f>1/2*'Inputs &amp; Outputs'!$B$5*'Iterative Steps'!C210^2</f>
        <v>155.76356359197612</v>
      </c>
      <c r="F210">
        <f>1/2*'Inputs &amp; Outputs'!$B$4*'Iterative Steps'!B210^2</f>
        <v>13.164733663852088</v>
      </c>
      <c r="G210">
        <f t="shared" si="4"/>
        <v>168.9282972558282</v>
      </c>
    </row>
    <row r="211" spans="1:7" x14ac:dyDescent="0.2">
      <c r="A211">
        <f>A210+'Inputs &amp; Outputs'!$B$6</f>
        <v>5.2527429168021609</v>
      </c>
      <c r="B211">
        <f>B210+C211*'Inputs &amp; Outputs'!$B$6</f>
        <v>2.1951999714879724</v>
      </c>
      <c r="C211">
        <f>C210+D210*'Inputs &amp; Outputs'!$B$6</f>
        <v>-3.9611076521925535</v>
      </c>
      <c r="D211">
        <f>(-'Inputs &amp; Outputs'!$B$4*B211)/'Inputs &amp; Outputs'!$B$5</f>
        <v>-0.5487999928719931</v>
      </c>
      <c r="E211">
        <f>1/2*'Inputs &amp; Outputs'!$B$5*'Iterative Steps'!C211^2</f>
        <v>156.90373832258405</v>
      </c>
      <c r="F211">
        <f>1/2*'Inputs &amp; Outputs'!$B$4*'Iterative Steps'!B211^2</f>
        <v>12.047257287051988</v>
      </c>
      <c r="G211">
        <f t="shared" si="4"/>
        <v>168.95099560963604</v>
      </c>
    </row>
    <row r="212" spans="1:7" x14ac:dyDescent="0.2">
      <c r="A212">
        <f>A211+'Inputs &amp; Outputs'!$B$6</f>
        <v>5.2778756580308794</v>
      </c>
      <c r="B212">
        <f>B211+C212*'Inputs &amp; Outputs'!$B$6</f>
        <v>2.095299825801523</v>
      </c>
      <c r="C212">
        <f>C211+D211*'Inputs &amp; Outputs'!$B$6</f>
        <v>-3.9749005003997278</v>
      </c>
      <c r="D212">
        <f>(-'Inputs &amp; Outputs'!$B$4*B212)/'Inputs &amp; Outputs'!$B$5</f>
        <v>-0.52382495645038074</v>
      </c>
      <c r="E212">
        <f>1/2*'Inputs &amp; Outputs'!$B$5*'Iterative Steps'!C212^2</f>
        <v>157.99833988078007</v>
      </c>
      <c r="F212">
        <f>1/2*'Inputs &amp; Outputs'!$B$4*'Iterative Steps'!B212^2</f>
        <v>10.975703400009731</v>
      </c>
      <c r="G212">
        <f t="shared" si="4"/>
        <v>168.9740432807898</v>
      </c>
    </row>
    <row r="213" spans="1:7" x14ac:dyDescent="0.2">
      <c r="A213">
        <f>A212+'Inputs &amp; Outputs'!$B$6</f>
        <v>5.303008399259598</v>
      </c>
      <c r="B213">
        <f>B212+C213*'Inputs &amp; Outputs'!$B$6</f>
        <v>1.9950688036289561</v>
      </c>
      <c r="C213">
        <f>C212+D212*'Inputs &amp; Outputs'!$B$6</f>
        <v>-3.9880656574793396</v>
      </c>
      <c r="D213">
        <f>(-'Inputs &amp; Outputs'!$B$4*B213)/'Inputs &amp; Outputs'!$B$5</f>
        <v>-0.49876720090723908</v>
      </c>
      <c r="E213">
        <f>1/2*'Inputs &amp; Outputs'!$B$5*'Iterative Steps'!C213^2</f>
        <v>159.04667688366118</v>
      </c>
      <c r="F213">
        <f>1/2*'Inputs &amp; Outputs'!$B$4*'Iterative Steps'!B213^2</f>
        <v>9.9507488280336851</v>
      </c>
      <c r="G213">
        <f t="shared" si="4"/>
        <v>168.99742571169486</v>
      </c>
    </row>
    <row r="214" spans="1:7" x14ac:dyDescent="0.2">
      <c r="A214">
        <f>A213+'Inputs &amp; Outputs'!$B$6</f>
        <v>5.3281411404883166</v>
      </c>
      <c r="B214">
        <f>B213+C214*'Inputs &amp; Outputs'!$B$6</f>
        <v>1.894522732818873</v>
      </c>
      <c r="C214">
        <f>C213+D213*'Inputs &amp; Outputs'!$B$6</f>
        <v>-4.0006010444731137</v>
      </c>
      <c r="D214">
        <f>(-'Inputs &amp; Outputs'!$B$4*B214)/'Inputs &amp; Outputs'!$B$5</f>
        <v>-0.47363068320471824</v>
      </c>
      <c r="E214">
        <f>1/2*'Inputs &amp; Outputs'!$B$5*'Iterative Steps'!C214^2</f>
        <v>160.04808717039367</v>
      </c>
      <c r="F214">
        <f>1/2*'Inputs &amp; Outputs'!$B$4*'Iterative Steps'!B214^2</f>
        <v>8.9730409629187271</v>
      </c>
      <c r="G214">
        <f t="shared" si="4"/>
        <v>169.0211281333124</v>
      </c>
    </row>
    <row r="215" spans="1:7" x14ac:dyDescent="0.2">
      <c r="A215">
        <f>A214+'Inputs &amp; Outputs'!$B$6</f>
        <v>5.3532738817170351</v>
      </c>
      <c r="B215">
        <f>B214+C215*'Inputs &amp; Outputs'!$B$6</f>
        <v>1.7936774909703612</v>
      </c>
      <c r="C215">
        <f>C214+D214*'Inputs &amp; Outputs'!$B$6</f>
        <v>-4.0125046818720786</v>
      </c>
      <c r="D215">
        <f>(-'Inputs &amp; Outputs'!$B$4*B215)/'Inputs &amp; Outputs'!$B$5</f>
        <v>-0.44841937274259031</v>
      </c>
      <c r="E215">
        <f>1/2*'Inputs &amp; Outputs'!$B$5*'Iterative Steps'!C215^2</f>
        <v>161.00193822045352</v>
      </c>
      <c r="F215">
        <f>1/2*'Inputs &amp; Outputs'!$B$4*'Iterative Steps'!B215^2</f>
        <v>8.0431973540343265</v>
      </c>
      <c r="G215">
        <f t="shared" si="4"/>
        <v>169.04513557448786</v>
      </c>
    </row>
    <row r="216" spans="1:7" x14ac:dyDescent="0.2">
      <c r="A216">
        <f>A215+'Inputs &amp; Outputs'!$B$6</f>
        <v>5.3784066229457537</v>
      </c>
      <c r="B216">
        <f>B215+C216*'Inputs &amp; Outputs'!$B$6</f>
        <v>1.6925490029257051</v>
      </c>
      <c r="C216">
        <f>C215+D215*'Inputs &amp; Outputs'!$B$6</f>
        <v>-4.0237746899291622</v>
      </c>
      <c r="D216">
        <f>(-'Inputs &amp; Outputs'!$B$4*B216)/'Inputs &amp; Outputs'!$B$5</f>
        <v>-0.42313725073142627</v>
      </c>
      <c r="E216">
        <f>1/2*'Inputs &amp; Outputs'!$B$5*'Iterative Steps'!C216^2</f>
        <v>161.90762755314526</v>
      </c>
      <c r="F216">
        <f>1/2*'Inputs &amp; Outputs'!$B$4*'Iterative Steps'!B216^2</f>
        <v>7.1618053182619956</v>
      </c>
      <c r="G216">
        <f t="shared" si="4"/>
        <v>169.06943287140726</v>
      </c>
    </row>
    <row r="217" spans="1:7" x14ac:dyDescent="0.2">
      <c r="A217">
        <f>A216+'Inputs &amp; Outputs'!$B$6</f>
        <v>5.4035393641744722</v>
      </c>
      <c r="B217">
        <f>B216+C217*'Inputs &amp; Outputs'!$B$6</f>
        <v>1.5911532382556357</v>
      </c>
      <c r="C217">
        <f>C216+D216*'Inputs &amp; Outputs'!$B$6</f>
        <v>-4.0344092889560264</v>
      </c>
      <c r="D217">
        <f>(-'Inputs &amp; Outputs'!$B$4*B217)/'Inputs &amp; Outputs'!$B$5</f>
        <v>-0.39778830956390893</v>
      </c>
      <c r="E217">
        <f>1/2*'Inputs &amp; Outputs'!$B$5*'Iterative Steps'!C217^2</f>
        <v>162.76458310814672</v>
      </c>
      <c r="F217">
        <f>1/2*'Inputs &amp; Outputs'!$B$4*'Iterative Steps'!B217^2</f>
        <v>6.3294215690284892</v>
      </c>
      <c r="G217">
        <f t="shared" si="4"/>
        <v>169.09400467717521</v>
      </c>
    </row>
    <row r="218" spans="1:7" x14ac:dyDescent="0.2">
      <c r="A218">
        <f>A217+'Inputs &amp; Outputs'!$B$6</f>
        <v>5.4286721054031908</v>
      </c>
      <c r="B218">
        <f>B217+C218*'Inputs &amp; Outputs'!$B$6</f>
        <v>1.4895062087375168</v>
      </c>
      <c r="C218">
        <f>C217+D217*'Inputs &amp; Outputs'!$B$6</f>
        <v>-4.0444067996041051</v>
      </c>
      <c r="D218">
        <f>(-'Inputs &amp; Outputs'!$B$4*B218)/'Inputs &amp; Outputs'!$B$5</f>
        <v>-0.37237655218437921</v>
      </c>
      <c r="E218">
        <f>1/2*'Inputs &amp; Outputs'!$B$5*'Iterative Steps'!C218^2</f>
        <v>163.57226360683921</v>
      </c>
      <c r="F218">
        <f>1/2*'Inputs &amp; Outputs'!$B$4*'Iterative Steps'!B218^2</f>
        <v>5.5465718646690281</v>
      </c>
      <c r="G218">
        <f t="shared" si="4"/>
        <v>169.11883547150825</v>
      </c>
    </row>
    <row r="219" spans="1:7" x14ac:dyDescent="0.2">
      <c r="A219">
        <f>A218+'Inputs &amp; Outputs'!$B$6</f>
        <v>5.4538048466319093</v>
      </c>
      <c r="B219">
        <f>B218+C219*'Inputs &amp; Outputs'!$B$6</f>
        <v>1.3876239658268665</v>
      </c>
      <c r="C219">
        <f>C218+D218*'Inputs &amp; Outputs'!$B$6</f>
        <v>-4.0537656431297977</v>
      </c>
      <c r="D219">
        <f>(-'Inputs &amp; Outputs'!$B$4*B219)/'Inputs &amp; Outputs'!$B$5</f>
        <v>-0.34690599145671663</v>
      </c>
      <c r="E219">
        <f>1/2*'Inputs &amp; Outputs'!$B$5*'Iterative Steps'!C219^2</f>
        <v>164.33015889419545</v>
      </c>
      <c r="F219">
        <f>1/2*'Inputs &amp; Outputs'!$B$4*'Iterative Steps'!B219^2</f>
        <v>4.8137506763427025</v>
      </c>
      <c r="G219">
        <f t="shared" si="4"/>
        <v>169.14390957053814</v>
      </c>
    </row>
    <row r="220" spans="1:7" x14ac:dyDescent="0.2">
      <c r="A220">
        <f>A219+'Inputs &amp; Outputs'!$B$6</f>
        <v>5.4789375878606279</v>
      </c>
      <c r="B220">
        <f>B219+C220*'Inputs &amp; Outputs'!$B$6</f>
        <v>1.2855225981226135</v>
      </c>
      <c r="C220">
        <f>C219+D219*'Inputs &amp; Outputs'!$B$6</f>
        <v>-4.0624843416437715</v>
      </c>
      <c r="D220">
        <f>(-'Inputs &amp; Outputs'!$B$4*B220)/'Inputs &amp; Outputs'!$B$5</f>
        <v>-0.32138064953065337</v>
      </c>
      <c r="E220">
        <f>1/2*'Inputs &amp; Outputs'!$B$5*'Iterative Steps'!C220^2</f>
        <v>165.03779026100827</v>
      </c>
      <c r="F220">
        <f>1/2*'Inputs &amp; Outputs'!$B$4*'Iterative Steps'!B220^2</f>
        <v>4.1314208757097859</v>
      </c>
      <c r="G220">
        <f t="shared" si="4"/>
        <v>169.16921113671805</v>
      </c>
    </row>
    <row r="221" spans="1:7" x14ac:dyDescent="0.2">
      <c r="A221">
        <f>A220+'Inputs &amp; Outputs'!$B$6</f>
        <v>5.5040703290893465</v>
      </c>
      <c r="B221">
        <f>B220+C221*'Inputs &amp; Outputs'!$B$6</f>
        <v>1.1832182288264863</v>
      </c>
      <c r="C221">
        <f>C220+D220*'Inputs &amp; Outputs'!$B$6</f>
        <v>-4.0705615183443431</v>
      </c>
      <c r="D221">
        <f>(-'Inputs &amp; Outputs'!$B$4*B221)/'Inputs &amp; Outputs'!$B$5</f>
        <v>-0.29580455720662158</v>
      </c>
      <c r="E221">
        <f>1/2*'Inputs &amp; Outputs'!$B$5*'Iterative Steps'!C221^2</f>
        <v>165.69471074625801</v>
      </c>
      <c r="F221">
        <f>1/2*'Inputs &amp; Outputs'!$B$4*'Iterative Steps'!B221^2</f>
        <v>3.5000134425682186</v>
      </c>
      <c r="G221">
        <f t="shared" si="4"/>
        <v>169.19472418882623</v>
      </c>
    </row>
    <row r="222" spans="1:7" x14ac:dyDescent="0.2">
      <c r="A222">
        <f>A221+'Inputs &amp; Outputs'!$B$6</f>
        <v>5.529203070318065</v>
      </c>
      <c r="B222">
        <f>B221+C222*'Inputs &amp; Outputs'!$B$6</f>
        <v>1.0807270131969402</v>
      </c>
      <c r="C222">
        <f>C221+D221*'Inputs &amp; Outputs'!$B$6</f>
        <v>-4.0779958977348931</v>
      </c>
      <c r="D222">
        <f>(-'Inputs &amp; Outputs'!$B$4*B222)/'Inputs &amp; Outputs'!$B$5</f>
        <v>-0.27018175329923505</v>
      </c>
      <c r="E222">
        <f>1/2*'Inputs &amp; Outputs'!$B$5*'Iterative Steps'!C222^2</f>
        <v>166.30050541942614</v>
      </c>
      <c r="F222">
        <f>1/2*'Inputs &amp; Outputs'!$B$4*'Iterative Steps'!B222^2</f>
        <v>2.9199271926339483</v>
      </c>
      <c r="G222">
        <f t="shared" si="4"/>
        <v>169.22043261206008</v>
      </c>
    </row>
    <row r="223" spans="1:7" x14ac:dyDescent="0.2">
      <c r="A223">
        <f>A222+'Inputs &amp; Outputs'!$B$6</f>
        <v>5.5543358115467836</v>
      </c>
      <c r="B223">
        <f>B222+C223*'Inputs &amp; Outputs'!$B$6</f>
        <v>0.97806513599802092</v>
      </c>
      <c r="C223">
        <f>C222+D222*'Inputs &amp; Outputs'!$B$6</f>
        <v>-4.0847863058252845</v>
      </c>
      <c r="D223">
        <f>(-'Inputs &amp; Outputs'!$B$4*B223)/'Inputs &amp; Outputs'!$B$5</f>
        <v>-0.24451628399950526</v>
      </c>
      <c r="E223">
        <f>1/2*'Inputs &amp; Outputs'!$B$5*'Iterative Steps'!C223^2</f>
        <v>166.85479164257774</v>
      </c>
      <c r="F223">
        <f>1/2*'Inputs &amp; Outputs'!$B$4*'Iterative Steps'!B223^2</f>
        <v>2.3915285256370677</v>
      </c>
      <c r="G223">
        <f t="shared" si="4"/>
        <v>169.24632016821479</v>
      </c>
    </row>
    <row r="224" spans="1:7" x14ac:dyDescent="0.2">
      <c r="A224">
        <f>A223+'Inputs &amp; Outputs'!$B$6</f>
        <v>5.5794685527755021</v>
      </c>
      <c r="B224">
        <f>B223+C224*'Inputs &amp; Outputs'!$B$6</f>
        <v>0.87524880894356893</v>
      </c>
      <c r="C224">
        <f>C223+D223*'Inputs &amp; Outputs'!$B$6</f>
        <v>-4.0909316703172518</v>
      </c>
      <c r="D224">
        <f>(-'Inputs &amp; Outputs'!$B$4*B224)/'Inputs &amp; Outputs'!$B$5</f>
        <v>-0.21881220223589221</v>
      </c>
      <c r="E224">
        <f>1/2*'Inputs &amp; Outputs'!$B$5*'Iterative Steps'!C224^2</f>
        <v>167.35721931204699</v>
      </c>
      <c r="F224">
        <f>1/2*'Inputs &amp; Outputs'!$B$4*'Iterative Steps'!B224^2</f>
        <v>1.9151511938928401</v>
      </c>
      <c r="G224">
        <f t="shared" si="4"/>
        <v>169.27237050593985</v>
      </c>
    </row>
    <row r="225" spans="1:7" x14ac:dyDescent="0.2">
      <c r="A225">
        <f>A224+'Inputs &amp; Outputs'!$B$6</f>
        <v>5.6046012940042207</v>
      </c>
      <c r="B225">
        <f>B224+C225*'Inputs &amp; Outputs'!$B$6</f>
        <v>0.77229426813716817</v>
      </c>
      <c r="C225">
        <f>C224+D224*'Inputs &amp; Outputs'!$B$6</f>
        <v>-4.0964310207737329</v>
      </c>
      <c r="D225">
        <f>(-'Inputs &amp; Outputs'!$B$4*B225)/'Inputs &amp; Outputs'!$B$5</f>
        <v>-0.19307356703429204</v>
      </c>
      <c r="E225">
        <f>1/2*'Inputs &amp; Outputs'!$B$5*'Iterative Steps'!C225^2</f>
        <v>167.80747107957328</v>
      </c>
      <c r="F225">
        <f>1/2*'Inputs &amp; Outputs'!$B$4*'Iterative Steps'!B225^2</f>
        <v>1.4910960914938105</v>
      </c>
      <c r="G225">
        <f t="shared" si="4"/>
        <v>169.29856717106708</v>
      </c>
    </row>
    <row r="226" spans="1:7" x14ac:dyDescent="0.2">
      <c r="A226">
        <f>A225+'Inputs &amp; Outputs'!$B$6</f>
        <v>5.6297340352329392</v>
      </c>
      <c r="B226">
        <f>B225+C226*'Inputs &amp; Outputs'!$B$6</f>
        <v>0.66921777150824346</v>
      </c>
      <c r="C226">
        <f>C225+D225*'Inputs &amp; Outputs'!$B$6</f>
        <v>-4.1012834887721112</v>
      </c>
      <c r="D226">
        <f>(-'Inputs &amp; Outputs'!$B$4*B226)/'Inputs &amp; Outputs'!$B$5</f>
        <v>-0.16730444287706087</v>
      </c>
      <c r="E226">
        <f>1/2*'Inputs &amp; Outputs'!$B$5*'Iterative Steps'!C226^2</f>
        <v>168.2052625527474</v>
      </c>
      <c r="F226">
        <f>1/2*'Inputs &amp; Outputs'!$B$4*'Iterative Steps'!B226^2</f>
        <v>1.1196310642561489</v>
      </c>
      <c r="G226">
        <f t="shared" si="4"/>
        <v>169.32489361700354</v>
      </c>
    </row>
    <row r="227" spans="1:7" x14ac:dyDescent="0.2">
      <c r="A227">
        <f>A226+'Inputs &amp; Outputs'!$B$6</f>
        <v>5.6548667764616578</v>
      </c>
      <c r="B227">
        <f>B226+C227*'Inputs &amp; Outputs'!$B$6</f>
        <v>0.56603559624471134</v>
      </c>
      <c r="C227">
        <f>C226+D226*'Inputs &amp; Outputs'!$B$6</f>
        <v>-4.1054883080413553</v>
      </c>
      <c r="D227">
        <f>(-'Inputs &amp; Outputs'!$B$4*B227)/'Inputs &amp; Outputs'!$B$5</f>
        <v>-0.14150889906117783</v>
      </c>
      <c r="E227">
        <f>1/2*'Inputs &amp; Outputs'!$B$5*'Iterative Steps'!C227^2</f>
        <v>168.55034247464272</v>
      </c>
      <c r="F227">
        <f>1/2*'Inputs &amp; Outputs'!$B$4*'Iterative Steps'!B227^2</f>
        <v>0.80099074054026476</v>
      </c>
      <c r="G227">
        <f t="shared" si="4"/>
        <v>169.35133321518299</v>
      </c>
    </row>
    <row r="228" spans="1:7" x14ac:dyDescent="0.2">
      <c r="A228">
        <f>A227+'Inputs &amp; Outputs'!$B$6</f>
        <v>5.6799995176903764</v>
      </c>
      <c r="B228">
        <f>B227+C228*'Inputs &amp; Outputs'!$B$6</f>
        <v>0.46276403622258933</v>
      </c>
      <c r="C228">
        <f>C227+D227*'Inputs &amp; Outputs'!$B$6</f>
        <v>-4.1090448145830205</v>
      </c>
      <c r="D228">
        <f>(-'Inputs &amp; Outputs'!$B$4*B228)/'Inputs &amp; Outputs'!$B$5</f>
        <v>-0.11569100905564733</v>
      </c>
      <c r="E228">
        <f>1/2*'Inputs &amp; Outputs'!$B$5*'Iterative Steps'!C228^2</f>
        <v>168.8424928825161</v>
      </c>
      <c r="F228">
        <f>1/2*'Inputs &amp; Outputs'!$B$4*'Iterative Steps'!B228^2</f>
        <v>0.53537638305255497</v>
      </c>
      <c r="G228">
        <f t="shared" si="4"/>
        <v>169.37786926556865</v>
      </c>
    </row>
    <row r="229" spans="1:7" x14ac:dyDescent="0.2">
      <c r="A229">
        <f>A228+'Inputs &amp; Outputs'!$B$6</f>
        <v>5.7051322589190949</v>
      </c>
      <c r="B229">
        <f>B228+C229*'Inputs &amp; Outputs'!$B$6</f>
        <v>0.35941939943297019</v>
      </c>
      <c r="C229">
        <f>C228+D228*'Inputs &amp; Outputs'!$B$6</f>
        <v>-4.1119524467761055</v>
      </c>
      <c r="D229">
        <f>(-'Inputs &amp; Outputs'!$B$4*B229)/'Inputs &amp; Outputs'!$B$5</f>
        <v>-8.9854849858242547E-2</v>
      </c>
      <c r="E229">
        <f>1/2*'Inputs &amp; Outputs'!$B$5*'Iterative Steps'!C229^2</f>
        <v>169.08152924548003</v>
      </c>
      <c r="F229">
        <f>1/2*'Inputs &amp; Outputs'!$B$4*'Iterative Steps'!B229^2</f>
        <v>0.32295576172189244</v>
      </c>
      <c r="G229">
        <f t="shared" si="4"/>
        <v>169.40448500720191</v>
      </c>
    </row>
    <row r="230" spans="1:7" x14ac:dyDescent="0.2">
      <c r="A230">
        <f>A229+'Inputs &amp; Outputs'!$B$6</f>
        <v>5.7302650001478135</v>
      </c>
      <c r="B230">
        <f>B229+C230*'Inputs &amp; Outputs'!$B$6</f>
        <v>0.25601800540676739</v>
      </c>
      <c r="C230">
        <f>C229+D229*'Inputs &amp; Outputs'!$B$6</f>
        <v>-4.114210745465738</v>
      </c>
      <c r="D230">
        <f>(-'Inputs &amp; Outputs'!$B$4*B230)/'Inputs &amp; Outputs'!$B$5</f>
        <v>-6.4004501351691848E-2</v>
      </c>
      <c r="E230">
        <f>1/2*'Inputs &amp; Outputs'!$B$5*'Iterative Steps'!C230^2</f>
        <v>169.26730058105744</v>
      </c>
      <c r="F230">
        <f>1/2*'Inputs &amp; Outputs'!$B$4*'Iterative Steps'!B230^2</f>
        <v>0.16386304773114896</v>
      </c>
      <c r="G230">
        <f t="shared" si="4"/>
        <v>169.4311636287886</v>
      </c>
    </row>
    <row r="231" spans="1:7" x14ac:dyDescent="0.2">
      <c r="A231">
        <f>A230+'Inputs &amp; Outputs'!$B$6</f>
        <v>5.755397741376532</v>
      </c>
      <c r="B231">
        <f>B230+C231*'Inputs &amp; Outputs'!$B$6</f>
        <v>0.15257618263763784</v>
      </c>
      <c r="C231">
        <f>C230+D230*'Inputs &amp; Outputs'!$B$6</f>
        <v>-4.1158193540356836</v>
      </c>
      <c r="D231">
        <f>(-'Inputs &amp; Outputs'!$B$4*B231)/'Inputs &amp; Outputs'!$B$5</f>
        <v>-3.8144045659409459E-2</v>
      </c>
      <c r="E231">
        <f>1/2*'Inputs &amp; Outputs'!$B$5*'Iterative Steps'!C231^2</f>
        <v>169.39968955054712</v>
      </c>
      <c r="F231">
        <f>1/2*'Inputs &amp; Outputs'!$B$4*'Iterative Steps'!B231^2</f>
        <v>5.8198728770684549E-2</v>
      </c>
      <c r="G231">
        <f t="shared" si="4"/>
        <v>169.45788827931781</v>
      </c>
    </row>
    <row r="232" spans="1:7" x14ac:dyDescent="0.2">
      <c r="A232">
        <f>A231+'Inputs &amp; Outputs'!$B$6</f>
        <v>5.7805304826052506</v>
      </c>
      <c r="B232">
        <f>B231+C232*'Inputs &amp; Outputs'!$B$6</f>
        <v>4.9110266003489694E-2</v>
      </c>
      <c r="C232">
        <f>C231+D231*'Inputs &amp; Outputs'!$B$6</f>
        <v>-4.1167780184646583</v>
      </c>
      <c r="D232">
        <f>(-'Inputs &amp; Outputs'!$B$4*B232)/'Inputs &amp; Outputs'!$B$5</f>
        <v>-1.2277566500872424E-2</v>
      </c>
      <c r="E232">
        <f>1/2*'Inputs &amp; Outputs'!$B$5*'Iterative Steps'!C232^2</f>
        <v>169.478612533138</v>
      </c>
      <c r="F232">
        <f>1/2*'Inputs &amp; Outputs'!$B$4*'Iterative Steps'!B232^2</f>
        <v>6.0295455673337883E-3</v>
      </c>
      <c r="G232">
        <f t="shared" si="4"/>
        <v>169.48464207870535</v>
      </c>
    </row>
    <row r="233" spans="1:7" x14ac:dyDescent="0.2">
      <c r="A233">
        <f>A232+'Inputs &amp; Outputs'!$B$6</f>
        <v>5.8056632238339692</v>
      </c>
      <c r="B233">
        <f>B232+C233*'Inputs &amp; Outputs'!$B$6</f>
        <v>-5.4363405813018226E-2</v>
      </c>
      <c r="C233">
        <f>C232+D232*'Inputs &amp; Outputs'!$B$6</f>
        <v>-4.1170865873664431</v>
      </c>
      <c r="D233">
        <f>(-'Inputs &amp; Outputs'!$B$4*B233)/'Inputs &amp; Outputs'!$B$5</f>
        <v>1.3590851453254556E-2</v>
      </c>
      <c r="E233">
        <f>1/2*'Inputs &amp; Outputs'!$B$5*'Iterative Steps'!C233^2</f>
        <v>169.50401967872665</v>
      </c>
      <c r="F233">
        <f>1/2*'Inputs &amp; Outputs'!$B$4*'Iterative Steps'!B233^2</f>
        <v>7.3884497289772588E-3</v>
      </c>
      <c r="G233">
        <f t="shared" si="4"/>
        <v>169.51140812845563</v>
      </c>
    </row>
    <row r="234" spans="1:7" x14ac:dyDescent="0.2">
      <c r="A234">
        <f>A233+'Inputs &amp; Outputs'!$B$6</f>
        <v>5.8307959650626877</v>
      </c>
      <c r="B234">
        <f>B233+C234*'Inputs &amp; Outputs'!$B$6</f>
        <v>-0.15782849290457784</v>
      </c>
      <c r="C234">
        <f>C233+D233*'Inputs &amp; Outputs'!$B$6</f>
        <v>-4.1167450120137907</v>
      </c>
      <c r="D234">
        <f>(-'Inputs &amp; Outputs'!$B$4*B234)/'Inputs &amp; Outputs'!$B$5</f>
        <v>3.9457123226144461E-2</v>
      </c>
      <c r="E234">
        <f>1/2*'Inputs &amp; Outputs'!$B$5*'Iterative Steps'!C234^2</f>
        <v>169.47589493940427</v>
      </c>
      <c r="F234">
        <f>1/2*'Inputs &amp; Outputs'!$B$4*'Iterative Steps'!B234^2</f>
        <v>6.2274582931325942E-2</v>
      </c>
      <c r="G234">
        <f t="shared" si="4"/>
        <v>169.53816952233561</v>
      </c>
    </row>
    <row r="235" spans="1:7" x14ac:dyDescent="0.2">
      <c r="A235">
        <f>A234+'Inputs &amp; Outputs'!$B$6</f>
        <v>5.8559287062914063</v>
      </c>
      <c r="B235">
        <f>B234+C235*'Inputs &amp; Outputs'!$B$6</f>
        <v>-0.26126865671952643</v>
      </c>
      <c r="C235">
        <f>C234+D234*'Inputs &amp; Outputs'!$B$6</f>
        <v>-4.1157533463461187</v>
      </c>
      <c r="D235">
        <f>(-'Inputs &amp; Outputs'!$B$4*B235)/'Inputs &amp; Outputs'!$B$5</f>
        <v>6.5317164179881607E-2</v>
      </c>
      <c r="E235">
        <f>1/2*'Inputs &amp; Outputs'!$B$5*'Iterative Steps'!C235^2</f>
        <v>169.39425607959271</v>
      </c>
      <c r="F235">
        <f>1/2*'Inputs &amp; Outputs'!$B$4*'Iterative Steps'!B235^2</f>
        <v>0.17065327746006437</v>
      </c>
      <c r="G235">
        <f t="shared" si="4"/>
        <v>169.56490935705278</v>
      </c>
    </row>
    <row r="236" spans="1:7" x14ac:dyDescent="0.2">
      <c r="A236">
        <f>A235+'Inputs &amp; Outputs'!$B$6</f>
        <v>5.8810614475201248</v>
      </c>
      <c r="B236">
        <f>B235+C236*'Inputs &amp; Outputs'!$B$6</f>
        <v>-0.3646675626419274</v>
      </c>
      <c r="C236">
        <f>C235+D235*'Inputs &amp; Outputs'!$B$6</f>
        <v>-4.114111746960992</v>
      </c>
      <c r="D236">
        <f>(-'Inputs &amp; Outputs'!$B$4*B236)/'Inputs &amp; Outputs'!$B$5</f>
        <v>9.116689066048185E-2</v>
      </c>
      <c r="E236">
        <f>1/2*'Inputs &amp; Outputs'!$B$5*'Iterative Steps'!C236^2</f>
        <v>169.25915466482425</v>
      </c>
      <c r="F236">
        <f>1/2*'Inputs &amp; Outputs'!$B$4*'Iterative Steps'!B236^2</f>
        <v>0.33245607810801014</v>
      </c>
      <c r="G236">
        <f t="shared" si="4"/>
        <v>169.59161074293226</v>
      </c>
    </row>
    <row r="237" spans="1:7" x14ac:dyDescent="0.2">
      <c r="A237">
        <f>A236+'Inputs &amp; Outputs'!$B$6</f>
        <v>5.9061941887488434</v>
      </c>
      <c r="B237">
        <f>B236+C237*'Inputs &amp; Outputs'!$B$6</f>
        <v>-0.46800888257102941</v>
      </c>
      <c r="C237">
        <f>C236+D236*'Inputs &amp; Outputs'!$B$6</f>
        <v>-4.111820473089395</v>
      </c>
      <c r="D237">
        <f>(-'Inputs &amp; Outputs'!$B$4*B237)/'Inputs &amp; Outputs'!$B$5</f>
        <v>0.11700222064275737</v>
      </c>
      <c r="E237">
        <f>1/2*'Inputs &amp; Outputs'!$B$5*'Iterative Steps'!C237^2</f>
        <v>169.07067602917095</v>
      </c>
      <c r="F237">
        <f>1/2*'Inputs &amp; Outputs'!$B$4*'Iterative Steps'!B237^2</f>
        <v>0.547580785413459</v>
      </c>
      <c r="G237">
        <f t="shared" si="4"/>
        <v>169.61825681458441</v>
      </c>
    </row>
    <row r="238" spans="1:7" x14ac:dyDescent="0.2">
      <c r="A238">
        <f>A237+'Inputs &amp; Outputs'!$B$6</f>
        <v>5.9313269299775619</v>
      </c>
      <c r="B238">
        <f>B237+C238*'Inputs &amp; Outputs'!$B$6</f>
        <v>-0.57127629749969666</v>
      </c>
      <c r="C238">
        <f>C237+D237*'Inputs &amp; Outputs'!$B$6</f>
        <v>-4.1088798865547949</v>
      </c>
      <c r="D238">
        <f>(-'Inputs &amp; Outputs'!$B$4*B238)/'Inputs &amp; Outputs'!$B$5</f>
        <v>0.14281907437492417</v>
      </c>
      <c r="E238">
        <f>1/2*'Inputs &amp; Outputs'!$B$5*'Iterative Steps'!C238^2</f>
        <v>168.82893922134542</v>
      </c>
      <c r="F238">
        <f>1/2*'Inputs &amp; Outputs'!$B$4*'Iterative Steps'!B238^2</f>
        <v>0.81589152021240485</v>
      </c>
      <c r="G238">
        <f t="shared" si="4"/>
        <v>169.64483074155783</v>
      </c>
    </row>
    <row r="239" spans="1:7" x14ac:dyDescent="0.2">
      <c r="A239">
        <f>A238+'Inputs &amp; Outputs'!$B$6</f>
        <v>5.9564596712062805</v>
      </c>
      <c r="B239">
        <f>B238+C239*'Inputs &amp; Outputs'!$B$6</f>
        <v>-0.67445350009140326</v>
      </c>
      <c r="C239">
        <f>C238+D238*'Inputs &amp; Outputs'!$B$6</f>
        <v>-4.1052904517160052</v>
      </c>
      <c r="D239">
        <f>(-'Inputs &amp; Outputs'!$B$4*B239)/'Inputs &amp; Outputs'!$B$5</f>
        <v>0.16861337502285081</v>
      </c>
      <c r="E239">
        <f>1/2*'Inputs &amp; Outputs'!$B$5*'Iterative Steps'!C239^2</f>
        <v>168.53409692950603</v>
      </c>
      <c r="F239">
        <f>1/2*'Inputs &amp; Outputs'!$B$4*'Iterative Steps'!B239^2</f>
        <v>1.1372188094638611</v>
      </c>
      <c r="G239">
        <f t="shared" si="4"/>
        <v>169.67131573896989</v>
      </c>
    </row>
    <row r="240" spans="1:7" x14ac:dyDescent="0.2">
      <c r="A240">
        <f>A239+'Inputs &amp; Outputs'!$B$6</f>
        <v>5.9815924124349991</v>
      </c>
      <c r="B240">
        <f>B239+C240*'Inputs &amp; Outputs'!$B$6</f>
        <v>-0.77752419725538457</v>
      </c>
      <c r="C240">
        <f>C239+D239*'Inputs &amp; Outputs'!$B$6</f>
        <v>-4.1010527353938553</v>
      </c>
      <c r="D240">
        <f>(-'Inputs &amp; Outputs'!$B$4*B240)/'Inputs &amp; Outputs'!$B$5</f>
        <v>0.19438104931384614</v>
      </c>
      <c r="E240">
        <f>1/2*'Inputs &amp; Outputs'!$B$5*'Iterative Steps'!C240^2</f>
        <v>168.18633538481421</v>
      </c>
      <c r="F240">
        <f>1/2*'Inputs &amp; Outputs'!$B$4*'Iterative Steps'!B240^2</f>
        <v>1.5113596932940754</v>
      </c>
      <c r="G240">
        <f t="shared" si="4"/>
        <v>169.6976950781083</v>
      </c>
    </row>
    <row r="241" spans="1:7" x14ac:dyDescent="0.2">
      <c r="A241">
        <f>A240+'Inputs &amp; Outputs'!$B$6</f>
        <v>6.0067251536637176</v>
      </c>
      <c r="B241">
        <f>B240+C241*'Inputs &amp; Outputs'!$B$6</f>
        <v>-0.88047211271953896</v>
      </c>
      <c r="C241">
        <f>C240+D240*'Inputs &amp; Outputs'!$B$6</f>
        <v>-4.0961674067816833</v>
      </c>
      <c r="D241">
        <f>(-'Inputs &amp; Outputs'!$B$4*B241)/'Inputs &amp; Outputs'!$B$5</f>
        <v>0.22011802817988474</v>
      </c>
      <c r="E241">
        <f>1/2*'Inputs &amp; Outputs'!$B$5*'Iterative Steps'!C241^2</f>
        <v>167.78587424380584</v>
      </c>
      <c r="F241">
        <f>1/2*'Inputs &amp; Outputs'!$B$4*'Iterative Steps'!B241^2</f>
        <v>1.9380778531920213</v>
      </c>
      <c r="G241">
        <f t="shared" si="4"/>
        <v>169.72395209699786</v>
      </c>
    </row>
    <row r="242" spans="1:7" x14ac:dyDescent="0.2">
      <c r="A242">
        <f>A241+'Inputs &amp; Outputs'!$B$6</f>
        <v>6.0318578948924362</v>
      </c>
      <c r="B242">
        <f>B241+C242*'Inputs &amp; Outputs'!$B$6</f>
        <v>-0.98328098960067356</v>
      </c>
      <c r="C242">
        <f>C241+D241*'Inputs &amp; Outputs'!$B$6</f>
        <v>-4.0906352373396624</v>
      </c>
      <c r="D242">
        <f>(-'Inputs &amp; Outputs'!$B$4*B242)/'Inputs &amp; Outputs'!$B$5</f>
        <v>0.24582024740016842</v>
      </c>
      <c r="E242">
        <f>1/2*'Inputs &amp; Outputs'!$B$5*'Iterative Steps'!C242^2</f>
        <v>167.33296644964918</v>
      </c>
      <c r="F242">
        <f>1/2*'Inputs &amp; Outputs'!$B$4*'Iterative Steps'!B242^2</f>
        <v>2.4171037612751998</v>
      </c>
      <c r="G242">
        <f t="shared" si="4"/>
        <v>169.75007021092438</v>
      </c>
    </row>
    <row r="243" spans="1:7" x14ac:dyDescent="0.2">
      <c r="A243">
        <f>A242+'Inputs &amp; Outputs'!$B$6</f>
        <v>6.0569906361211547</v>
      </c>
      <c r="B243">
        <f>B242+C243*'Inputs &amp; Outputs'!$B$6</f>
        <v>-1.0859345929716886</v>
      </c>
      <c r="C243">
        <f>C242+D242*'Inputs &amp; Outputs'!$B$6</f>
        <v>-4.0844571006729744</v>
      </c>
      <c r="D243">
        <f>(-'Inputs &amp; Outputs'!$B$4*B243)/'Inputs &amp; Outputs'!$B$5</f>
        <v>0.27148364824292215</v>
      </c>
      <c r="E243">
        <f>1/2*'Inputs &amp; Outputs'!$B$5*'Iterative Steps'!C243^2</f>
        <v>166.82789807237882</v>
      </c>
      <c r="F243">
        <f>1/2*'Inputs &amp; Outputs'!$B$4*'Iterative Steps'!B243^2</f>
        <v>2.9481348505314675</v>
      </c>
      <c r="G243">
        <f t="shared" si="4"/>
        <v>169.77603292291028</v>
      </c>
    </row>
    <row r="244" spans="1:7" x14ac:dyDescent="0.2">
      <c r="A244">
        <f>A243+'Inputs &amp; Outputs'!$B$6</f>
        <v>6.0821233773498733</v>
      </c>
      <c r="B244">
        <f>B243+C244*'Inputs &amp; Outputs'!$B$6</f>
        <v>-1.1884167124252942</v>
      </c>
      <c r="C244">
        <f>C243+D243*'Inputs &amp; Outputs'!$B$6</f>
        <v>-4.0776339723938566</v>
      </c>
      <c r="D244">
        <f>(-'Inputs &amp; Outputs'!$B$4*B244)/'Inputs &amp; Outputs'!$B$5</f>
        <v>0.29710417810632356</v>
      </c>
      <c r="E244">
        <f>1/2*'Inputs &amp; Outputs'!$B$5*'Iterative Steps'!C244^2</f>
        <v>166.27098812820503</v>
      </c>
      <c r="F244">
        <f>1/2*'Inputs &amp; Outputs'!$B$4*'Iterative Steps'!B244^2</f>
        <v>3.5308357059293609</v>
      </c>
      <c r="G244">
        <f t="shared" si="4"/>
        <v>169.80182383413438</v>
      </c>
    </row>
    <row r="245" spans="1:7" x14ac:dyDescent="0.2">
      <c r="A245">
        <f>A244+'Inputs &amp; Outputs'!$B$6</f>
        <v>6.1072561185785919</v>
      </c>
      <c r="B245">
        <f>B244+C245*'Inputs &amp; Outputs'!$B$6</f>
        <v>-1.2907111646338554</v>
      </c>
      <c r="C245">
        <f>C244+D244*'Inputs &amp; Outputs'!$B$6</f>
        <v>-4.0701669299675389</v>
      </c>
      <c r="D245">
        <f>(-'Inputs &amp; Outputs'!$B$4*B245)/'Inputs &amp; Outputs'!$B$5</f>
        <v>0.32267779115846384</v>
      </c>
      <c r="E245">
        <f>1/2*'Inputs &amp; Outputs'!$B$5*'Iterative Steps'!C245^2</f>
        <v>165.66258837801382</v>
      </c>
      <c r="F245">
        <f>1/2*'Inputs &amp; Outputs'!$B$4*'Iterative Steps'!B245^2</f>
        <v>4.1648382762762086</v>
      </c>
      <c r="G245">
        <f t="shared" si="4"/>
        <v>169.82742665429004</v>
      </c>
    </row>
    <row r="246" spans="1:7" x14ac:dyDescent="0.2">
      <c r="A246">
        <f>A245+'Inputs &amp; Outputs'!$B$6</f>
        <v>6.1323888598073104</v>
      </c>
      <c r="B246">
        <f>B245+C246*'Inputs &amp; Outputs'!$B$6</f>
        <v>-1.3928017959049606</v>
      </c>
      <c r="C246">
        <f>C245+D245*'Inputs &amp; Outputs'!$B$6</f>
        <v>-4.0620571525420992</v>
      </c>
      <c r="D246">
        <f>(-'Inputs &amp; Outputs'!$B$4*B246)/'Inputs &amp; Outputs'!$B$5</f>
        <v>0.34820044897624014</v>
      </c>
      <c r="E246">
        <f>1/2*'Inputs &amp; Outputs'!$B$5*'Iterative Steps'!C246^2</f>
        <v>165.00308310518426</v>
      </c>
      <c r="F246">
        <f>1/2*'Inputs &amp; Outputs'!$B$4*'Iterative Steps'!B246^2</f>
        <v>4.8497421066902087</v>
      </c>
      <c r="G246">
        <f t="shared" si="4"/>
        <v>169.85282521187446</v>
      </c>
    </row>
    <row r="247" spans="1:7" x14ac:dyDescent="0.2">
      <c r="A247">
        <f>A246+'Inputs &amp; Outputs'!$B$6</f>
        <v>6.157521601036029</v>
      </c>
      <c r="B247">
        <f>B246+C247*'Inputs &amp; Outputs'!$B$6</f>
        <v>-1.4946724847323103</v>
      </c>
      <c r="C247">
        <f>C246+D246*'Inputs &amp; Outputs'!$B$6</f>
        <v>-4.0533059207622557</v>
      </c>
      <c r="D247">
        <f>(-'Inputs &amp; Outputs'!$B$4*B247)/'Inputs &amp; Outputs'!$B$5</f>
        <v>0.37366812118307757</v>
      </c>
      <c r="E247">
        <f>1/2*'Inputs &amp; Outputs'!$B$5*'Iterative Steps'!C247^2</f>
        <v>164.29288887286359</v>
      </c>
      <c r="F247">
        <f>1/2*'Inputs &amp; Outputs'!$B$4*'Iterative Steps'!B247^2</f>
        <v>5.5851145915396465</v>
      </c>
      <c r="G247">
        <f t="shared" si="4"/>
        <v>169.87800346440324</v>
      </c>
    </row>
    <row r="248" spans="1:7" x14ac:dyDescent="0.2">
      <c r="A248">
        <f>A247+'Inputs &amp; Outputs'!$B$6</f>
        <v>6.1826543422647475</v>
      </c>
      <c r="B248">
        <f>B247+C248*'Inputs &amp; Outputs'!$B$6</f>
        <v>-1.596307144341524</v>
      </c>
      <c r="C248">
        <f>C247+D247*'Inputs &amp; Outputs'!$B$6</f>
        <v>-4.0439146165671405</v>
      </c>
      <c r="D248">
        <f>(-'Inputs &amp; Outputs'!$B$4*B248)/'Inputs &amp; Outputs'!$B$5</f>
        <v>0.399076786085381</v>
      </c>
      <c r="E248">
        <f>1/2*'Inputs &amp; Outputs'!$B$5*'Iterative Steps'!C248^2</f>
        <v>163.53245426085363</v>
      </c>
      <c r="F248">
        <f>1/2*'Inputs &amp; Outputs'!$B$4*'Iterative Steps'!B248^2</f>
        <v>6.3704912476894782</v>
      </c>
      <c r="G248">
        <f t="shared" si="4"/>
        <v>169.9029455085431</v>
      </c>
    </row>
    <row r="249" spans="1:7" x14ac:dyDescent="0.2">
      <c r="A249">
        <f>A248+'Inputs &amp; Outputs'!$B$6</f>
        <v>6.2077870834934661</v>
      </c>
      <c r="B249">
        <f>B248+C249*'Inputs &amp; Outputs'!$B$6</f>
        <v>-1.6976897252304612</v>
      </c>
      <c r="C249">
        <f>C248+D248*'Inputs &amp; Outputs'!$B$6</f>
        <v>-4.0338847229720676</v>
      </c>
      <c r="D249">
        <f>(-'Inputs &amp; Outputs'!$B$4*B249)/'Inputs &amp; Outputs'!$B$5</f>
        <v>0.42442243130761537</v>
      </c>
      <c r="E249">
        <f>1/2*'Inputs &amp; Outputs'!$B$5*'Iterative Steps'!C249^2</f>
        <v>162.72225958227435</v>
      </c>
      <c r="F249">
        <f>1/2*'Inputs &amp; Outputs'!$B$4*'Iterative Steps'!B249^2</f>
        <v>7.2053760078826983</v>
      </c>
      <c r="G249">
        <f t="shared" si="4"/>
        <v>169.92763559015705</v>
      </c>
    </row>
    <row r="250" spans="1:7" x14ac:dyDescent="0.2">
      <c r="A250">
        <f>A249+'Inputs &amp; Outputs'!$B$6</f>
        <v>6.2329198247221846</v>
      </c>
      <c r="B250">
        <f>B249+C250*'Inputs &amp; Outputs'!$B$6</f>
        <v>-1.7988042177036574</v>
      </c>
      <c r="C250">
        <f>C249+D249*'Inputs &amp; Outputs'!$B$6</f>
        <v>-4.0232178238343499</v>
      </c>
      <c r="D250">
        <f>(-'Inputs &amp; Outputs'!$B$4*B250)/'Inputs &amp; Outputs'!$B$5</f>
        <v>0.4497010544259144</v>
      </c>
      <c r="E250">
        <f>1/2*'Inputs &amp; Outputs'!$B$5*'Iterative Steps'!C250^2</f>
        <v>161.86281658018402</v>
      </c>
      <c r="F250">
        <f>1/2*'Inputs &amp; Outputs'!$B$4*'Iterative Steps'!B250^2</f>
        <v>8.0892415340711672</v>
      </c>
      <c r="G250">
        <f t="shared" si="4"/>
        <v>169.95205811425518</v>
      </c>
    </row>
    <row r="251" spans="1:7" x14ac:dyDescent="0.2">
      <c r="A251">
        <f>A250+'Inputs &amp; Outputs'!$B$6</f>
        <v>6.2580525659509032</v>
      </c>
      <c r="B251">
        <f>B250+C251*'Inputs &amp; Outputs'!$B$6</f>
        <v>-1.8996346544004736</v>
      </c>
      <c r="C251">
        <f>C250+D250*'Inputs &amp; Outputs'!$B$6</f>
        <v>-4.0119156036031818</v>
      </c>
      <c r="D251">
        <f>(-'Inputs &amp; Outputs'!$B$4*B251)/'Inputs &amp; Outputs'!$B$5</f>
        <v>0.47490866360011841</v>
      </c>
      <c r="E251">
        <f>1/2*'Inputs &amp; Outputs'!$B$5*'Iterative Steps'!C251^2</f>
        <v>160.95466810434684</v>
      </c>
      <c r="F251">
        <f>1/2*'Inputs &amp; Outputs'!$B$4*'Iterative Steps'!B251^2</f>
        <v>9.021529550498018</v>
      </c>
      <c r="G251">
        <f t="shared" si="4"/>
        <v>169.97619765484487</v>
      </c>
    </row>
    <row r="252" spans="1:7" x14ac:dyDescent="0.2">
      <c r="A252">
        <f>A251+'Inputs &amp; Outputs'!$B$6</f>
        <v>6.2831853071796218</v>
      </c>
      <c r="B252">
        <f>B251+C252*'Inputs &amp; Outputs'!$B$6</f>
        <v>-2.0001651128165614</v>
      </c>
      <c r="C252">
        <f>C251+D251*'Inputs &amp; Outputs'!$B$6</f>
        <v>-3.9999798470536434</v>
      </c>
      <c r="D252">
        <f>(-'Inputs &amp; Outputs'!$B$4*B252)/'Inputs &amp; Outputs'!$B$5</f>
        <v>0.50004127820414035</v>
      </c>
      <c r="E252">
        <f>1/2*'Inputs &amp; Outputs'!$B$5*'Iterative Steps'!C252^2</f>
        <v>159.99838776835287</v>
      </c>
      <c r="F252">
        <f>1/2*'Inputs &amp; Outputs'!$B$4*'Iterative Steps'!B252^2</f>
        <v>10.00165119632122</v>
      </c>
      <c r="G252">
        <f t="shared" si="4"/>
        <v>170.0000389646741</v>
      </c>
    </row>
    <row r="253" spans="1:7" x14ac:dyDescent="0.2">
      <c r="A253">
        <f>A252+'Inputs &amp; Outputs'!$B$6</f>
        <v>6.3083180484083403</v>
      </c>
      <c r="B253">
        <f>B252+C253*'Inputs &amp; Outputs'!$B$6</f>
        <v>-2.1003797178182433</v>
      </c>
      <c r="C253">
        <f>C252+D252*'Inputs &amp; Outputs'!$B$6</f>
        <v>-3.9874124390048613</v>
      </c>
      <c r="D253">
        <f>(-'Inputs &amp; Outputs'!$B$4*B253)/'Inputs &amp; Outputs'!$B$5</f>
        <v>0.52509492945456082</v>
      </c>
      <c r="E253">
        <f>1/2*'Inputs &amp; Outputs'!$B$5*'Iterative Steps'!C253^2</f>
        <v>158.99457958730696</v>
      </c>
      <c r="F253">
        <f>1/2*'Inputs &amp; Outputs'!$B$4*'Iterative Steps'!B253^2</f>
        <v>11.028987397555607</v>
      </c>
      <c r="G253">
        <f t="shared" si="4"/>
        <v>170.02356698486255</v>
      </c>
    </row>
    <row r="254" spans="1:7" x14ac:dyDescent="0.2">
      <c r="A254">
        <f>A253+'Inputs &amp; Outputs'!$B$6</f>
        <v>6.3334507896370589</v>
      </c>
      <c r="B254">
        <f>B253+C254*'Inputs &amp; Outputs'!$B$6</f>
        <v>-2.2002626441494142</v>
      </c>
      <c r="C254">
        <f>C253+D253*'Inputs &amp; Outputs'!$B$6</f>
        <v>-3.9742153640223679</v>
      </c>
      <c r="D254">
        <f>(-'Inputs &amp; Outputs'!$B$4*B254)/'Inputs &amp; Outputs'!$B$5</f>
        <v>0.55006566103735355</v>
      </c>
      <c r="E254">
        <f>1/2*'Inputs &amp; Outputs'!$B$5*'Iterative Steps'!C254^2</f>
        <v>157.94387759631442</v>
      </c>
      <c r="F254">
        <f>1/2*'Inputs &amp; Outputs'!$B$4*'Iterative Steps'!B254^2</f>
        <v>12.102889258098429</v>
      </c>
      <c r="G254">
        <f t="shared" si="4"/>
        <v>170.04676685441285</v>
      </c>
    </row>
    <row r="255" spans="1:7" x14ac:dyDescent="0.2">
      <c r="A255">
        <f>A254+'Inputs &amp; Outputs'!$B$6</f>
        <v>6.3585835308657774</v>
      </c>
      <c r="B255">
        <f>B254+C255*'Inputs &amp; Outputs'!$B$6</f>
        <v>-2.299798118930565</v>
      </c>
      <c r="C255">
        <f>C254+D254*'Inputs &amp; Outputs'!$B$6</f>
        <v>-3.9603907061047123</v>
      </c>
      <c r="D255">
        <f>(-'Inputs &amp; Outputs'!$B$4*B255)/'Inputs &amp; Outputs'!$B$5</f>
        <v>0.57494952973264124</v>
      </c>
      <c r="E255">
        <f>1/2*'Inputs &amp; Outputs'!$B$5*'Iterative Steps'!C255^2</f>
        <v>156.84694545000582</v>
      </c>
      <c r="F255">
        <f>1/2*'Inputs &amp; Outputs'!$B$4*'Iterative Steps'!B255^2</f>
        <v>13.222678469591413</v>
      </c>
      <c r="G255">
        <f t="shared" si="4"/>
        <v>170.06962391959723</v>
      </c>
    </row>
    <row r="256" spans="1:7" x14ac:dyDescent="0.2">
      <c r="A256">
        <f>A255+'Inputs &amp; Outputs'!$B$6</f>
        <v>6.383716272094496</v>
      </c>
      <c r="B256">
        <f>B255+C256*'Inputs &amp; Outputs'!$B$6</f>
        <v>-2.3989704241495362</v>
      </c>
      <c r="C256">
        <f>C255+D255*'Inputs &amp; Outputs'!$B$6</f>
        <v>-3.9459406483543686</v>
      </c>
      <c r="D256">
        <f>(-'Inputs &amp; Outputs'!$B$4*B256)/'Inputs &amp; Outputs'!$B$5</f>
        <v>0.59974260603738405</v>
      </c>
      <c r="E256">
        <f>1/2*'Inputs &amp; Outputs'!$B$5*'Iterative Steps'!C256^2</f>
        <v>155.70447600335297</v>
      </c>
      <c r="F256">
        <f>1/2*'Inputs &amp; Outputs'!$B$4*'Iterative Steps'!B256^2</f>
        <v>14.387647739860514</v>
      </c>
      <c r="G256">
        <f t="shared" si="4"/>
        <v>170.09212374321348</v>
      </c>
    </row>
    <row r="257" spans="1:7" x14ac:dyDescent="0.2">
      <c r="A257">
        <f>A256+'Inputs &amp; Outputs'!$B$6</f>
        <v>6.4088490133232145</v>
      </c>
      <c r="B257">
        <f>B256+C257*'Inputs &amp; Outputs'!$B$6</f>
        <v>-2.4977638991436075</v>
      </c>
      <c r="C257">
        <f>C256+D256*'Inputs &amp; Outputs'!$B$6</f>
        <v>-3.9308674726329937</v>
      </c>
      <c r="D257">
        <f>(-'Inputs &amp; Outputs'!$B$4*B257)/'Inputs &amp; Outputs'!$B$5</f>
        <v>0.62444097478590188</v>
      </c>
      <c r="E257">
        <f>1/2*'Inputs &amp; Outputs'!$B$5*'Iterative Steps'!C257^2</f>
        <v>154.51719087404101</v>
      </c>
      <c r="F257">
        <f>1/2*'Inputs &amp; Outputs'!$B$4*'Iterative Steps'!B257^2</f>
        <v>15.597061239662693</v>
      </c>
      <c r="G257">
        <f t="shared" si="4"/>
        <v>170.11425211370369</v>
      </c>
    </row>
    <row r="258" spans="1:7" x14ac:dyDescent="0.2">
      <c r="A258">
        <f>A257+'Inputs &amp; Outputs'!$B$6</f>
        <v>6.4339817545519331</v>
      </c>
      <c r="B258">
        <f>B257+C258*'Inputs &amp; Outputs'!$B$6</f>
        <v>-2.5961629430725286</v>
      </c>
      <c r="C258">
        <f>C257+D257*'Inputs &amp; Outputs'!$B$6</f>
        <v>-3.915173559201091</v>
      </c>
      <c r="D258">
        <f>(-'Inputs &amp; Outputs'!$B$4*B258)/'Inputs &amp; Outputs'!$B$5</f>
        <v>0.64904073576813215</v>
      </c>
      <c r="E258">
        <f>1/2*'Inputs &amp; Outputs'!$B$5*'Iterative Steps'!C258^2</f>
        <v>153.28583998667338</v>
      </c>
      <c r="F258">
        <f>1/2*'Inputs &amp; Outputs'!$B$4*'Iterative Steps'!B258^2</f>
        <v>16.850155067457532</v>
      </c>
      <c r="G258">
        <f t="shared" si="4"/>
        <v>170.13599505413092</v>
      </c>
    </row>
    <row r="259" spans="1:7" x14ac:dyDescent="0.2">
      <c r="A259">
        <f>A258+'Inputs &amp; Outputs'!$B$6</f>
        <v>6.4591144957806517</v>
      </c>
      <c r="B259">
        <f>B258+C259*'Inputs &amp; Outputs'!$B$6</f>
        <v>-2.6941520173821076</v>
      </c>
      <c r="C259">
        <f>C258+D258*'Inputs &amp; Outputs'!$B$6</f>
        <v>-3.8988613863421335</v>
      </c>
      <c r="D259">
        <f>(-'Inputs &amp; Outputs'!$B$4*B259)/'Inputs &amp; Outputs'!$B$5</f>
        <v>0.67353800434552691</v>
      </c>
      <c r="E259">
        <f>1/2*'Inputs &amp; Outputs'!$B$5*'Iterative Steps'!C259^2</f>
        <v>152.01120109909704</v>
      </c>
      <c r="F259">
        <f>1/2*'Inputs &amp; Outputs'!$B$4*'Iterative Steps'!B259^2</f>
        <v>18.146137731910201</v>
      </c>
      <c r="G259">
        <f t="shared" ref="G259:G322" si="5">SUM(E259:F259)</f>
        <v>170.15733883100722</v>
      </c>
    </row>
    <row r="260" spans="1:7" x14ac:dyDescent="0.2">
      <c r="A260">
        <f>A259+'Inputs &amp; Outputs'!$B$6</f>
        <v>6.4842472370093702</v>
      </c>
      <c r="B260">
        <f>B259+C260*'Inputs &amp; Outputs'!$B$6</f>
        <v>-2.7917156482579593</v>
      </c>
      <c r="C260">
        <f>C259+D259*'Inputs &amp; Outputs'!$B$6</f>
        <v>-3.8819335299712101</v>
      </c>
      <c r="D260">
        <f>(-'Inputs &amp; Outputs'!$B$4*B260)/'Inputs &amp; Outputs'!$B$5</f>
        <v>0.69792891206448981</v>
      </c>
      <c r="E260">
        <f>1/2*'Inputs &amp; Outputs'!$B$5*'Iterative Steps'!C260^2</f>
        <v>150.69407931114742</v>
      </c>
      <c r="F260">
        <f>1/2*'Inputs &amp; Outputs'!$B$4*'Iterative Steps'!B260^2</f>
        <v>19.484190651820896</v>
      </c>
      <c r="G260">
        <f t="shared" si="5"/>
        <v>170.17826996296833</v>
      </c>
    </row>
    <row r="261" spans="1:7" x14ac:dyDescent="0.2">
      <c r="A261">
        <f>A260+'Inputs &amp; Outputs'!$B$6</f>
        <v>6.5093799782380888</v>
      </c>
      <c r="B261">
        <f>B260+C261*'Inputs &amp; Outputs'!$B$6</f>
        <v>-2.8888384290690325</v>
      </c>
      <c r="C261">
        <f>C260+D260*'Inputs &amp; Outputs'!$B$6</f>
        <v>-3.8643926632282524</v>
      </c>
      <c r="D261">
        <f>(-'Inputs &amp; Outputs'!$B$4*B261)/'Inputs &amp; Outputs'!$B$5</f>
        <v>0.72220960726725814</v>
      </c>
      <c r="E261">
        <f>1/2*'Inputs &amp; Outputs'!$B$5*'Iterative Steps'!C261^2</f>
        <v>149.33530655612347</v>
      </c>
      <c r="F261">
        <f>1/2*'Inputs &amp; Outputs'!$B$4*'Iterative Steps'!B261^2</f>
        <v>20.863468673165091</v>
      </c>
      <c r="G261">
        <f t="shared" si="5"/>
        <v>170.19877522928857</v>
      </c>
    </row>
    <row r="262" spans="1:7" x14ac:dyDescent="0.2">
      <c r="A262">
        <f>A261+'Inputs &amp; Outputs'!$B$6</f>
        <v>6.5345127194668073</v>
      </c>
      <c r="B262">
        <f>B261+C262*'Inputs &amp; Outputs'!$B$6</f>
        <v>-2.9855050228005289</v>
      </c>
      <c r="C262">
        <f>C261+D261*'Inputs &amp; Outputs'!$B$6</f>
        <v>-3.8462415560559102</v>
      </c>
      <c r="D262">
        <f>(-'Inputs &amp; Outputs'!$B$4*B262)/'Inputs &amp; Outputs'!$B$5</f>
        <v>0.74637625570013222</v>
      </c>
      <c r="E262">
        <f>1/2*'Inputs &amp; Outputs'!$B$5*'Iterative Steps'!C262^2</f>
        <v>147.9357410753139</v>
      </c>
      <c r="F262">
        <f>1/2*'Inputs &amp; Outputs'!$B$4*'Iterative Steps'!B262^2</f>
        <v>22.283100602917965</v>
      </c>
      <c r="G262">
        <f t="shared" si="5"/>
        <v>170.21884167823185</v>
      </c>
    </row>
    <row r="263" spans="1:7" x14ac:dyDescent="0.2">
      <c r="A263">
        <f>A262+'Inputs &amp; Outputs'!$B$6</f>
        <v>6.5596454606955259</v>
      </c>
      <c r="B263">
        <f>B262+C263*'Inputs &amp; Outputs'!$B$6</f>
        <v>-3.0817001644758251</v>
      </c>
      <c r="C263">
        <f>C262+D262*'Inputs &amp; Outputs'!$B$6</f>
        <v>-3.8274830747621391</v>
      </c>
      <c r="D263">
        <f>(-'Inputs &amp; Outputs'!$B$4*B263)/'Inputs &amp; Outputs'!$B$5</f>
        <v>0.77042504111895627</v>
      </c>
      <c r="E263">
        <f>1/2*'Inputs &amp; Outputs'!$B$5*'Iterative Steps'!C263^2</f>
        <v>146.49626687590637</v>
      </c>
      <c r="F263">
        <f>1/2*'Inputs &amp; Outputs'!$B$4*'Iterative Steps'!B263^2</f>
        <v>23.742189759325818</v>
      </c>
      <c r="G263">
        <f t="shared" si="5"/>
        <v>170.23845663523218</v>
      </c>
    </row>
    <row r="264" spans="1:7" x14ac:dyDescent="0.2">
      <c r="A264">
        <f>A263+'Inputs &amp; Outputs'!$B$6</f>
        <v>6.5847782019242445</v>
      </c>
      <c r="B264">
        <f>B263+C264*'Inputs &amp; Outputs'!$B$6</f>
        <v>-3.1774086635670229</v>
      </c>
      <c r="C264">
        <f>C263+D263*'Inputs &amp; Outputs'!$B$6</f>
        <v>-3.8081201815675718</v>
      </c>
      <c r="D264">
        <f>(-'Inputs &amp; Outputs'!$B$4*B264)/'Inputs &amp; Outputs'!$B$5</f>
        <v>0.79435216589175572</v>
      </c>
      <c r="E264">
        <f>1/2*'Inputs &amp; Outputs'!$B$5*'Iterative Steps'!C264^2</f>
        <v>145.01779317262236</v>
      </c>
      <c r="F264">
        <f>1/2*'Inputs &amp; Outputs'!$B$4*'Iterative Steps'!B264^2</f>
        <v>25.239814538276939</v>
      </c>
      <c r="G264">
        <f t="shared" si="5"/>
        <v>170.25760771089929</v>
      </c>
    </row>
    <row r="265" spans="1:7" x14ac:dyDescent="0.2">
      <c r="A265">
        <f>A264+'Inputs &amp; Outputs'!$B$6</f>
        <v>6.609910943152963</v>
      </c>
      <c r="B265">
        <f>B264+C265*'Inputs &amp; Outputs'!$B$6</f>
        <v>-3.2726154063937405</v>
      </c>
      <c r="C265">
        <f>C264+D264*'Inputs &amp; Outputs'!$B$6</f>
        <v>-3.7881559341377424</v>
      </c>
      <c r="D265">
        <f>(-'Inputs &amp; Outputs'!$B$4*B265)/'Inputs &amp; Outputs'!$B$5</f>
        <v>0.81815385159843523</v>
      </c>
      <c r="E265">
        <f>1/2*'Inputs &amp; Outputs'!$B$5*'Iterative Steps'!C265^2</f>
        <v>143.50125381342991</v>
      </c>
      <c r="F265">
        <f>1/2*'Inputs &amp; Outputs'!$B$4*'Iterative Steps'!B265^2</f>
        <v>26.775028995414168</v>
      </c>
      <c r="G265">
        <f t="shared" si="5"/>
        <v>170.27628280884409</v>
      </c>
    </row>
    <row r="266" spans="1:7" x14ac:dyDescent="0.2">
      <c r="A266">
        <f>A265+'Inputs &amp; Outputs'!$B$6</f>
        <v>6.6350436843816816</v>
      </c>
      <c r="B266">
        <f>B265+C266*'Inputs &amp; Outputs'!$B$6</f>
        <v>-3.3673053585097699</v>
      </c>
      <c r="C266">
        <f>C265+D265*'Inputs &amp; Outputs'!$B$6</f>
        <v>-3.7675934851002397</v>
      </c>
      <c r="D266">
        <f>(-'Inputs &amp; Outputs'!$B$4*B266)/'Inputs &amp; Outputs'!$B$5</f>
        <v>0.84182633962744247</v>
      </c>
      <c r="E266">
        <f>1/2*'Inputs &amp; Outputs'!$B$5*'Iterative Steps'!C266^2</f>
        <v>141.94760668969769</v>
      </c>
      <c r="F266">
        <f>1/2*'Inputs &amp; Outputs'!$B$4*'Iterative Steps'!B266^2</f>
        <v>28.346863443621526</v>
      </c>
      <c r="G266">
        <f t="shared" si="5"/>
        <v>170.29447013331921</v>
      </c>
    </row>
    <row r="267" spans="1:7" x14ac:dyDescent="0.2">
      <c r="A267">
        <f>A266+'Inputs &amp; Outputs'!$B$6</f>
        <v>6.6601764256104001</v>
      </c>
      <c r="B267">
        <f>B266+C267*'Inputs &amp; Outputs'!$B$6</f>
        <v>-3.4614635670772209</v>
      </c>
      <c r="C267">
        <f>C266+D266*'Inputs &amp; Outputs'!$B$6</f>
        <v>-3.746436081546864</v>
      </c>
      <c r="D267">
        <f>(-'Inputs &amp; Outputs'!$B$4*B267)/'Inputs &amp; Outputs'!$B$5</f>
        <v>0.86536589176930523</v>
      </c>
      <c r="E267">
        <f>1/2*'Inputs &amp; Outputs'!$B$5*'Iterative Steps'!C267^2</f>
        <v>140.35783313116221</v>
      </c>
      <c r="F267">
        <f>1/2*'Inputs &amp; Outputs'!$B$4*'Iterative Steps'!B267^2</f>
        <v>29.954325065507398</v>
      </c>
      <c r="G267">
        <f t="shared" si="5"/>
        <v>170.3121581966696</v>
      </c>
    </row>
    <row r="268" spans="1:7" x14ac:dyDescent="0.2">
      <c r="A268">
        <f>A267+'Inputs &amp; Outputs'!$B$6</f>
        <v>6.6853091668391187</v>
      </c>
      <c r="B268">
        <f>B267+C268*'Inputs &amp; Outputs'!$B$6</f>
        <v>-3.5550751632277784</v>
      </c>
      <c r="C268">
        <f>C267+D267*'Inputs &amp; Outputs'!$B$6</f>
        <v>-3.7246870645208672</v>
      </c>
      <c r="D268">
        <f>(-'Inputs &amp; Outputs'!$B$4*B268)/'Inputs &amp; Outputs'!$B$5</f>
        <v>0.88876879080694449</v>
      </c>
      <c r="E268">
        <f>1/2*'Inputs &amp; Outputs'!$B$5*'Iterative Steps'!C268^2</f>
        <v>138.73293728609073</v>
      </c>
      <c r="F268">
        <f>1/2*'Inputs &amp; Outputs'!$B$4*'Iterative Steps'!B268^2</f>
        <v>31.596398540497539</v>
      </c>
      <c r="G268">
        <f t="shared" si="5"/>
        <v>170.32933582658828</v>
      </c>
    </row>
    <row r="269" spans="1:7" x14ac:dyDescent="0.2">
      <c r="A269">
        <f>A268+'Inputs &amp; Outputs'!$B$6</f>
        <v>6.7104419080678372</v>
      </c>
      <c r="B269">
        <f>B268+C269*'Inputs &amp; Outputs'!$B$6</f>
        <v>-3.6481253644107006</v>
      </c>
      <c r="C269">
        <f>C268+D268*'Inputs &amp; Outputs'!$B$6</f>
        <v>-3.7023498684893554</v>
      </c>
      <c r="D269">
        <f>(-'Inputs &amp; Outputs'!$B$4*B269)/'Inputs &amp; Outputs'!$B$5</f>
        <v>0.91203134110267514</v>
      </c>
      <c r="E269">
        <f>1/2*'Inputs &amp; Outputs'!$B$5*'Iterative Steps'!C269^2</f>
        <v>137.07394548703147</v>
      </c>
      <c r="F269">
        <f>1/2*'Inputs &amp; Outputs'!$B$4*'Iterative Steps'!B269^2</f>
        <v>33.272046686141763</v>
      </c>
      <c r="G269">
        <f t="shared" si="5"/>
        <v>170.34599217317322</v>
      </c>
    </row>
    <row r="270" spans="1:7" x14ac:dyDescent="0.2">
      <c r="A270">
        <f>A269+'Inputs &amp; Outputs'!$B$6</f>
        <v>6.7355746492965558</v>
      </c>
      <c r="B270">
        <f>B269+C270*'Inputs &amp; Outputs'!$B$6</f>
        <v>-3.7405994767271857</v>
      </c>
      <c r="C270">
        <f>C269+D269*'Inputs &amp; Outputs'!$B$6</f>
        <v>-3.6794280208009411</v>
      </c>
      <c r="D270">
        <f>(-'Inputs &amp; Outputs'!$B$4*B270)/'Inputs &amp; Outputs'!$B$5</f>
        <v>0.93514986918179643</v>
      </c>
      <c r="E270">
        <f>1/2*'Inputs &amp; Outputs'!$B$5*'Iterative Steps'!C270^2</f>
        <v>135.38190560255131</v>
      </c>
      <c r="F270">
        <f>1/2*'Inputs &amp; Outputs'!$B$4*'Iterative Steps'!B270^2</f>
        <v>34.980211113229238</v>
      </c>
      <c r="G270">
        <f t="shared" si="5"/>
        <v>170.36211671578056</v>
      </c>
    </row>
    <row r="271" spans="1:7" x14ac:dyDescent="0.2">
      <c r="A271">
        <f>A270+'Inputs &amp; Outputs'!$B$6</f>
        <v>6.7607073905252744</v>
      </c>
      <c r="B271">
        <f>B270+C271*'Inputs &amp; Outputs'!$B$6</f>
        <v>-3.8324828972507397</v>
      </c>
      <c r="C271">
        <f>C270+D270*'Inputs &amp; Outputs'!$B$6</f>
        <v>-3.655925141128725</v>
      </c>
      <c r="D271">
        <f>(-'Inputs &amp; Outputs'!$B$4*B271)/'Inputs &amp; Outputs'!$B$5</f>
        <v>0.95812072431268491</v>
      </c>
      <c r="E271">
        <f>1/2*'Inputs &amp; Outputs'!$B$5*'Iterative Steps'!C271^2</f>
        <v>133.65788637537088</v>
      </c>
      <c r="F271">
        <f>1/2*'Inputs &amp; Outputs'!$B$4*'Iterative Steps'!B271^2</f>
        <v>36.719812894298556</v>
      </c>
      <c r="G271">
        <f t="shared" si="5"/>
        <v>170.37769926966945</v>
      </c>
    </row>
    <row r="272" spans="1:7" x14ac:dyDescent="0.2">
      <c r="A272">
        <f>A271+'Inputs &amp; Outputs'!$B$6</f>
        <v>6.7858401317539929</v>
      </c>
      <c r="B272">
        <f>B271+C272*'Inputs &amp; Outputs'!$B$6</f>
        <v>-3.9237611163331767</v>
      </c>
      <c r="C272">
        <f>C271+D271*'Inputs &amp; Outputs'!$B$6</f>
        <v>-3.6318449408987021</v>
      </c>
      <c r="D272">
        <f>(-'Inputs &amp; Outputs'!$B$4*B272)/'Inputs &amp; Outputs'!$B$5</f>
        <v>0.98094027908329406</v>
      </c>
      <c r="E272">
        <f>1/2*'Inputs &amp; Outputs'!$B$5*'Iterative Steps'!C272^2</f>
        <v>131.90297674731497</v>
      </c>
      <c r="F272">
        <f>1/2*'Inputs &amp; Outputs'!$B$4*'Iterative Steps'!B272^2</f>
        <v>38.48975324512044</v>
      </c>
      <c r="G272">
        <f t="shared" si="5"/>
        <v>170.39272999243542</v>
      </c>
    </row>
    <row r="273" spans="1:7" x14ac:dyDescent="0.2">
      <c r="A273">
        <f>A272+'Inputs &amp; Outputs'!$B$6</f>
        <v>6.8109728729827115</v>
      </c>
      <c r="B273">
        <f>B272+C273*'Inputs &amp; Outputs'!$B$6</f>
        <v>-4.0144197198958924</v>
      </c>
      <c r="C273">
        <f>C272+D272*'Inputs &amp; Outputs'!$B$6</f>
        <v>-3.6071912227036749</v>
      </c>
      <c r="D273">
        <f>(-'Inputs &amp; Outputs'!$B$4*B273)/'Inputs &amp; Outputs'!$B$5</f>
        <v>1.0036049299739731</v>
      </c>
      <c r="E273">
        <f>1/2*'Inputs &amp; Outputs'!$B$5*'Iterative Steps'!C273^2</f>
        <v>130.11828517150431</v>
      </c>
      <c r="F273">
        <f>1/2*'Inputs &amp; Outputs'!$B$4*'Iterative Steps'!B273^2</f>
        <v>40.288914218722539</v>
      </c>
      <c r="G273">
        <f t="shared" si="5"/>
        <v>170.40719939022685</v>
      </c>
    </row>
    <row r="274" spans="1:7" x14ac:dyDescent="0.2">
      <c r="A274">
        <f>A273+'Inputs &amp; Outputs'!$B$6</f>
        <v>6.83610561421143</v>
      </c>
      <c r="B274">
        <f>B273+C274*'Inputs &amp; Outputs'!$B$6</f>
        <v>-4.1044443917060427</v>
      </c>
      <c r="C274">
        <f>C273+D273*'Inputs &amp; Outputs'!$B$6</f>
        <v>-3.581967879702773</v>
      </c>
      <c r="D274">
        <f>(-'Inputs &amp; Outputs'!$B$4*B274)/'Inputs &amp; Outputs'!$B$5</f>
        <v>1.0261110979265107</v>
      </c>
      <c r="E274">
        <f>1/2*'Inputs &amp; Outputs'!$B$5*'Iterative Steps'!C274^2</f>
        <v>128.30493891222378</v>
      </c>
      <c r="F274">
        <f>1/2*'Inputs &amp; Outputs'!$B$4*'Iterative Steps'!B274^2</f>
        <v>42.11615941151797</v>
      </c>
      <c r="G274">
        <f t="shared" si="5"/>
        <v>170.42109832374175</v>
      </c>
    </row>
    <row r="275" spans="1:7" x14ac:dyDescent="0.2">
      <c r="A275">
        <f>A274+'Inputs &amp; Outputs'!$B$6</f>
        <v>6.8612383554401486</v>
      </c>
      <c r="B275">
        <f>B274+C275*'Inputs &amp; Outputs'!$B$6</f>
        <v>-4.193820915637275</v>
      </c>
      <c r="C275">
        <f>C274+D274*'Inputs &amp; Outputs'!$B$6</f>
        <v>-3.5561788950066697</v>
      </c>
      <c r="D275">
        <f>(-'Inputs &amp; Outputs'!$B$4*B275)/'Inputs &amp; Outputs'!$B$5</f>
        <v>1.0484552289093187</v>
      </c>
      <c r="E275">
        <f>1/2*'Inputs &amp; Outputs'!$B$5*'Iterative Steps'!C275^2</f>
        <v>126.46408333290859</v>
      </c>
      <c r="F275">
        <f>1/2*'Inputs &amp; Outputs'!$B$4*'Iterative Steps'!B275^2</f>
        <v>43.970334681091678</v>
      </c>
      <c r="G275">
        <f t="shared" si="5"/>
        <v>170.43441801400027</v>
      </c>
    </row>
    <row r="276" spans="1:7" x14ac:dyDescent="0.2">
      <c r="A276">
        <f>A275+'Inputs &amp; Outputs'!$B$6</f>
        <v>6.8863710966688672</v>
      </c>
      <c r="B276">
        <f>B275+C276*'Inputs &amp; Outputs'!$B$6</f>
        <v>-4.2825351779146459</v>
      </c>
      <c r="C276">
        <f>C275+D275*'Inputs &amp; Outputs'!$B$6</f>
        <v>-3.5298283410485953</v>
      </c>
      <c r="D276">
        <f>(-'Inputs &amp; Outputs'!$B$4*B276)/'Inputs &amp; Outputs'!$B$5</f>
        <v>1.0706337944786615</v>
      </c>
      <c r="E276">
        <f>1/2*'Inputs &amp; Outputs'!$B$5*'Iterative Steps'!C276^2</f>
        <v>124.59688117269879</v>
      </c>
      <c r="F276">
        <f>1/2*'Inputs &amp; Outputs'!$B$4*'Iterative Steps'!B276^2</f>
        <v>45.85026887519107</v>
      </c>
      <c r="G276">
        <f t="shared" si="5"/>
        <v>170.44715004788986</v>
      </c>
    </row>
    <row r="277" spans="1:7" x14ac:dyDescent="0.2">
      <c r="A277">
        <f>A276+'Inputs &amp; Outputs'!$B$6</f>
        <v>6.9115038378975857</v>
      </c>
      <c r="B277">
        <f>B276+C277*'Inputs &amp; Outputs'!$B$6</f>
        <v>-4.3705731693433805</v>
      </c>
      <c r="C277">
        <f>C276+D276*'Inputs &amp; Outputs'!$B$6</f>
        <v>-3.5029203789412424</v>
      </c>
      <c r="D277">
        <f>(-'Inputs &amp; Outputs'!$B$4*B277)/'Inputs &amp; Outputs'!$B$5</f>
        <v>1.0926432923358451</v>
      </c>
      <c r="E277">
        <f>1/2*'Inputs &amp; Outputs'!$B$5*'Iterative Steps'!C277^2</f>
        <v>122.70451181201857</v>
      </c>
      <c r="F277">
        <f>1/2*'Inputs &amp; Outputs'!$B$4*'Iterative Steps'!B277^2</f>
        <v>47.754774571460601</v>
      </c>
      <c r="G277">
        <f t="shared" si="5"/>
        <v>170.45928638347917</v>
      </c>
    </row>
    <row r="278" spans="1:7" x14ac:dyDescent="0.2">
      <c r="A278">
        <f>A277+'Inputs &amp; Outputs'!$B$6</f>
        <v>6.9366365791263043</v>
      </c>
      <c r="B278">
        <f>B277+C278*'Inputs &amp; Outputs'!$B$6</f>
        <v>-4.4579209875211161</v>
      </c>
      <c r="C278">
        <f>C277+D277*'Inputs &amp; Outputs'!$B$6</f>
        <v>-3.4754592578196708</v>
      </c>
      <c r="D278">
        <f>(-'Inputs &amp; Outputs'!$B$4*B278)/'Inputs &amp; Outputs'!$B$5</f>
        <v>1.114480246880279</v>
      </c>
      <c r="E278">
        <f>1/2*'Inputs &amp; Outputs'!$B$5*'Iterative Steps'!C278^2</f>
        <v>120.78817052764457</v>
      </c>
      <c r="F278">
        <f>1/2*'Inputs &amp; Outputs'!$B$4*'Iterative Steps'!B278^2</f>
        <v>49.682648827453107</v>
      </c>
      <c r="G278">
        <f t="shared" si="5"/>
        <v>170.47081935509766</v>
      </c>
    </row>
    <row r="279" spans="1:7" x14ac:dyDescent="0.2">
      <c r="A279">
        <f>A278+'Inputs &amp; Outputs'!$B$6</f>
        <v>6.9617693203550228</v>
      </c>
      <c r="B279">
        <f>B278+C279*'Inputs &amp; Outputs'!$B$6</f>
        <v>-4.5445648390332813</v>
      </c>
      <c r="C279">
        <f>C278+D278*'Inputs &amp; Outputs'!$B$6</f>
        <v>-3.4474493141703104</v>
      </c>
      <c r="D279">
        <f>(-'Inputs &amp; Outputs'!$B$4*B279)/'Inputs &amp; Outputs'!$B$5</f>
        <v>1.1361412097583203</v>
      </c>
      <c r="E279">
        <f>1/2*'Inputs &amp; Outputs'!$B$5*'Iterative Steps'!C279^2</f>
        <v>118.84906773773344</v>
      </c>
      <c r="F279">
        <f>1/2*'Inputs &amp; Outputs'!$B$4*'Iterative Steps'!B279^2</f>
        <v>51.632673940443979</v>
      </c>
      <c r="G279">
        <f t="shared" si="5"/>
        <v>170.4817416781774</v>
      </c>
    </row>
    <row r="280" spans="1:7" x14ac:dyDescent="0.2">
      <c r="A280">
        <f>A279+'Inputs &amp; Outputs'!$B$6</f>
        <v>6.9869020615837414</v>
      </c>
      <c r="B280">
        <f>B279+C280*'Inputs &amp; Outputs'!$B$6</f>
        <v>-4.6304910416312648</v>
      </c>
      <c r="C280">
        <f>C279+D279*'Inputs &amp; Outputs'!$B$6</f>
        <v>-3.4188949711461714</v>
      </c>
      <c r="D280">
        <f>(-'Inputs &amp; Outputs'!$B$4*B280)/'Inputs &amp; Outputs'!$B$5</f>
        <v>1.1576227604078162</v>
      </c>
      <c r="E280">
        <f>1/2*'Inputs &amp; Outputs'!$B$5*'Iterative Steps'!C280^2</f>
        <v>116.88842823728579</v>
      </c>
      <c r="F280">
        <f>1/2*'Inputs &amp; Outputs'!$B$4*'Iterative Steps'!B280^2</f>
        <v>53.603618216568485</v>
      </c>
      <c r="G280">
        <f t="shared" si="5"/>
        <v>170.49204645385427</v>
      </c>
    </row>
    <row r="281" spans="1:7" x14ac:dyDescent="0.2">
      <c r="A281">
        <f>A280+'Inputs &amp; Outputs'!$B$6</f>
        <v>7.0120348028124599</v>
      </c>
      <c r="B281">
        <f>B280+C281*'Inputs &amp; Outputs'!$B$6</f>
        <v>-4.7156860263930289</v>
      </c>
      <c r="C281">
        <f>C280+D280*'Inputs &amp; Outputs'!$B$6</f>
        <v>-3.389800737868367</v>
      </c>
      <c r="D281">
        <f>(-'Inputs &amp; Outputs'!$B$4*B281)/'Inputs &amp; Outputs'!$B$5</f>
        <v>1.1789215065982572</v>
      </c>
      <c r="E281">
        <f>1/2*'Inputs &amp; Outputs'!$B$5*'Iterative Steps'!C281^2</f>
        <v>114.90749042452926</v>
      </c>
      <c r="F281">
        <f>1/2*'Inputs &amp; Outputs'!$B$4*'Iterative Steps'!B281^2</f>
        <v>55.594236748796185</v>
      </c>
      <c r="G281">
        <f t="shared" si="5"/>
        <v>170.50172717332543</v>
      </c>
    </row>
    <row r="282" spans="1:7" x14ac:dyDescent="0.2">
      <c r="A282">
        <f>A281+'Inputs &amp; Outputs'!$B$6</f>
        <v>7.0371675440411785</v>
      </c>
      <c r="B282">
        <f>B281+C282*'Inputs &amp; Outputs'!$B$6</f>
        <v>-4.800136339865829</v>
      </c>
      <c r="C282">
        <f>C281+D281*'Inputs &amp; Outputs'!$B$6</f>
        <v>-3.3601712087140623</v>
      </c>
      <c r="D282">
        <f>(-'Inputs &amp; Outputs'!$B$4*B282)/'Inputs &amp; Outputs'!$B$5</f>
        <v>1.2000340849664572</v>
      </c>
      <c r="E282">
        <f>1/2*'Inputs &amp; Outputs'!$B$5*'Iterative Steps'!C282^2</f>
        <v>112.90750551870921</v>
      </c>
      <c r="F282">
        <f>1/2*'Inputs &amp; Outputs'!$B$4*'Iterative Steps'!B282^2</f>
        <v>57.603272203251294</v>
      </c>
      <c r="G282">
        <f t="shared" si="5"/>
        <v>170.51077772196049</v>
      </c>
    </row>
    <row r="283" spans="1:7" x14ac:dyDescent="0.2">
      <c r="A283">
        <f>A282+'Inputs &amp; Outputs'!$B$6</f>
        <v>7.0623002852698971</v>
      </c>
      <c r="B283">
        <f>B282+C283*'Inputs &amp; Outputs'!$B$6</f>
        <v>-4.8838286461906968</v>
      </c>
      <c r="C283">
        <f>C282+D282*'Inputs &amp; Outputs'!$B$6</f>
        <v>-3.3300110625909585</v>
      </c>
      <c r="D283">
        <f>(-'Inputs &amp; Outputs'!$B$4*B283)/'Inputs &amp; Outputs'!$B$5</f>
        <v>1.2209571615476742</v>
      </c>
      <c r="E283">
        <f>1/2*'Inputs &amp; Outputs'!$B$5*'Iterative Steps'!C283^2</f>
        <v>110.88973676978163</v>
      </c>
      <c r="F283">
        <f>1/2*'Inputs &amp; Outputs'!$B$4*'Iterative Steps'!B283^2</f>
        <v>59.629455613382135</v>
      </c>
      <c r="G283">
        <f t="shared" si="5"/>
        <v>170.51919238316378</v>
      </c>
    </row>
    <row r="284" spans="1:7" x14ac:dyDescent="0.2">
      <c r="A284">
        <f>A283+'Inputs &amp; Outputs'!$B$6</f>
        <v>7.0874330264986156</v>
      </c>
      <c r="B284">
        <f>B283+C284*'Inputs &amp; Outputs'!$B$6</f>
        <v>-4.9667497292083551</v>
      </c>
      <c r="C284">
        <f>C283+D283*'Inputs &amp; Outputs'!$B$6</f>
        <v>-3.2993250621984305</v>
      </c>
      <c r="D284">
        <f>(-'Inputs &amp; Outputs'!$B$4*B284)/'Inputs &amp; Outputs'!$B$5</f>
        <v>1.2416874323020888</v>
      </c>
      <c r="E284">
        <f>1/2*'Inputs &amp; Outputs'!$B$5*'Iterative Steps'!C284^2</f>
        <v>108.85545866050677</v>
      </c>
      <c r="F284">
        <f>1/2*'Inputs &amp; Outputs'!$B$4*'Iterative Steps'!B284^2</f>
        <v>61.671507181478169</v>
      </c>
      <c r="G284">
        <f t="shared" si="5"/>
        <v>170.52696584198495</v>
      </c>
    </row>
    <row r="285" spans="1:7" x14ac:dyDescent="0.2">
      <c r="A285">
        <f>A284+'Inputs &amp; Outputs'!$B$6</f>
        <v>7.1125657677273342</v>
      </c>
      <c r="B285">
        <f>B284+C285*'Inputs &amp; Outputs'!$B$6</f>
        <v>-5.0488864945462293</v>
      </c>
      <c r="C285">
        <f>C284+D284*'Inputs &amp; Outputs'!$B$6</f>
        <v>-3.2681180532754301</v>
      </c>
      <c r="D285">
        <f>(-'Inputs &amp; Outputs'!$B$4*B285)/'Inputs &amp; Outputs'!$B$5</f>
        <v>1.2622216236365573</v>
      </c>
      <c r="E285">
        <f>1/2*'Inputs &amp; Outputs'!$B$5*'Iterative Steps'!C285^2</f>
        <v>106.80595610144786</v>
      </c>
      <c r="F285">
        <f>1/2*'Inputs &amp; Outputs'!$B$4*'Iterative Steps'!B285^2</f>
        <v>63.72813708702828</v>
      </c>
      <c r="G285">
        <f t="shared" si="5"/>
        <v>170.53409318847613</v>
      </c>
    </row>
    <row r="286" spans="1:7" x14ac:dyDescent="0.2">
      <c r="A286">
        <f>A285+'Inputs &amp; Outputs'!$B$6</f>
        <v>7.1376985089560527</v>
      </c>
      <c r="B286">
        <f>B285+C286*'Inputs &amp; Outputs'!$B$6</f>
        <v>-5.1302259716862286</v>
      </c>
      <c r="C286">
        <f>C285+D285*'Inputs &amp; Outputs'!$B$6</f>
        <v>-3.2363949638352798</v>
      </c>
      <c r="D286">
        <f>(-'Inputs &amp; Outputs'!$B$4*B286)/'Inputs &amp; Outputs'!$B$5</f>
        <v>1.2825564929215572</v>
      </c>
      <c r="E286">
        <f>1/2*'Inputs &amp; Outputs'!$B$5*'Iterative Steps'!C286^2</f>
        <v>104.74252361938362</v>
      </c>
      <c r="F286">
        <f>1/2*'Inputs &amp; Outputs'!$B$4*'Iterative Steps'!B286^2</f>
        <v>65.798046301409769</v>
      </c>
      <c r="G286">
        <f t="shared" si="5"/>
        <v>170.54056992079339</v>
      </c>
    </row>
    <row r="287" spans="1:7" x14ac:dyDescent="0.2">
      <c r="A287">
        <f>A286+'Inputs &amp; Outputs'!$B$6</f>
        <v>7.1628312501847713</v>
      </c>
      <c r="B287">
        <f>B286+C287*'Inputs &amp; Outputs'!$B$6</f>
        <v>-5.2107553160129685</v>
      </c>
      <c r="C287">
        <f>C286+D286*'Inputs &amp; Outputs'!$B$6</f>
        <v>-3.2041608033874698</v>
      </c>
      <c r="D287">
        <f>(-'Inputs &amp; Outputs'!$B$4*B287)/'Inputs &amp; Outputs'!$B$5</f>
        <v>1.3026888290032421</v>
      </c>
      <c r="E287">
        <f>1/2*'Inputs &amp; Outputs'!$B$5*'Iterative Steps'!C287^2</f>
        <v>102.66646453964637</v>
      </c>
      <c r="F287">
        <f>1/2*'Inputs &amp; Outputs'!$B$4*'Iterative Steps'!B287^2</f>
        <v>67.879927408393527</v>
      </c>
      <c r="G287">
        <f t="shared" si="5"/>
        <v>170.54639194803991</v>
      </c>
    </row>
    <row r="288" spans="1:7" x14ac:dyDescent="0.2">
      <c r="A288">
        <f>A287+'Inputs &amp; Outputs'!$B$6</f>
        <v>7.1879639914134899</v>
      </c>
      <c r="B288">
        <f>B287+C288*'Inputs &amp; Outputs'!$B$6</f>
        <v>-5.2904618108421095</v>
      </c>
      <c r="C288">
        <f>C287+D287*'Inputs &amp; Outputs'!$B$6</f>
        <v>-3.171420662146589</v>
      </c>
      <c r="D288">
        <f>(-'Inputs &amp; Outputs'!$B$4*B288)/'Inputs &amp; Outputs'!$B$5</f>
        <v>1.3226154527105274</v>
      </c>
      <c r="E288">
        <f>1/2*'Inputs &amp; Outputs'!$B$5*'Iterative Steps'!C288^2</f>
        <v>100.5790901629031</v>
      </c>
      <c r="F288">
        <f>1/2*'Inputs &amp; Outputs'!$B$4*'Iterative Steps'!B288^2</f>
        <v>69.972465429946936</v>
      </c>
      <c r="G288">
        <f t="shared" si="5"/>
        <v>170.55155559285004</v>
      </c>
    </row>
    <row r="289" spans="1:7" x14ac:dyDescent="0.2">
      <c r="A289">
        <f>A288+'Inputs &amp; Outputs'!$B$6</f>
        <v>7.2130967326422084</v>
      </c>
      <c r="B289">
        <f>B288+C289*'Inputs &amp; Outputs'!$B$6</f>
        <v>-5.3693328694284972</v>
      </c>
      <c r="C289">
        <f>C288+D288*'Inputs &amp; Outputs'!$B$6</f>
        <v>-3.1381797102285112</v>
      </c>
      <c r="D289">
        <f>(-'Inputs &amp; Outputs'!$B$4*B289)/'Inputs &amp; Outputs'!$B$5</f>
        <v>1.3423332173571243</v>
      </c>
      <c r="E289">
        <f>1/2*'Inputs &amp; Outputs'!$B$5*'Iterative Steps'!C289^2</f>
        <v>98.481718936899014</v>
      </c>
      <c r="F289">
        <f>1/2*'Inputs &amp; Outputs'!$B$4*'Iterative Steps'!B289^2</f>
        <v>72.074338656813154</v>
      </c>
      <c r="G289">
        <f t="shared" si="5"/>
        <v>170.55605759371218</v>
      </c>
    </row>
    <row r="290" spans="1:7" x14ac:dyDescent="0.2">
      <c r="A290">
        <f>A289+'Inputs &amp; Outputs'!$B$6</f>
        <v>7.238229473870927</v>
      </c>
      <c r="B290">
        <f>B289+C290*'Inputs &amp; Outputs'!$B$6</f>
        <v>-5.4473560369537806</v>
      </c>
      <c r="C290">
        <f>C289+D289*'Inputs &amp; Outputs'!$B$6</f>
        <v>-3.1044431968339614</v>
      </c>
      <c r="D290">
        <f>(-'Inputs &amp; Outputs'!$B$4*B290)/'Inputs &amp; Outputs'!$B$5</f>
        <v>1.3618390092384451</v>
      </c>
      <c r="E290">
        <f>1/2*'Inputs &amp; Outputs'!$B$5*'Iterative Steps'!C290^2</f>
        <v>96.375675623686661</v>
      </c>
      <c r="F290">
        <f>1/2*'Inputs &amp; Outputs'!$B$4*'Iterative Steps'!B290^2</f>
        <v>74.184219483341991</v>
      </c>
      <c r="G290">
        <f t="shared" si="5"/>
        <v>170.55989510702864</v>
      </c>
    </row>
    <row r="291" spans="1:7" x14ac:dyDescent="0.2">
      <c r="A291">
        <f>A290+'Inputs &amp; Outputs'!$B$6</f>
        <v>7.2633622150996455</v>
      </c>
      <c r="B291">
        <f>B290+C291*'Inputs &amp; Outputs'!$B$6</f>
        <v>-5.5245189924931974</v>
      </c>
      <c r="C291">
        <f>C290+D290*'Inputs &amp; Outputs'!$B$6</f>
        <v>-3.0702164494195974</v>
      </c>
      <c r="D291">
        <f>(-'Inputs &amp; Outputs'!$B$4*B291)/'Inputs &amp; Outputs'!$B$5</f>
        <v>1.3811297481232994</v>
      </c>
      <c r="E291">
        <f>1/2*'Inputs &amp; Outputs'!$B$5*'Iterative Steps'!C291^2</f>
        <v>94.262290462866787</v>
      </c>
      <c r="F291">
        <f>1/2*'Inputs &amp; Outputs'!$B$4*'Iterative Steps'!B291^2</f>
        <v>76.300775246045134</v>
      </c>
      <c r="G291">
        <f t="shared" si="5"/>
        <v>170.56306570891192</v>
      </c>
    </row>
    <row r="292" spans="1:7" x14ac:dyDescent="0.2">
      <c r="A292">
        <f>A291+'Inputs &amp; Outputs'!$B$6</f>
        <v>7.2884949563283641</v>
      </c>
      <c r="B292">
        <f>B291+C292*'Inputs &amp; Outputs'!$B$6</f>
        <v>-5.6008095509612188</v>
      </c>
      <c r="C292">
        <f>C291+D291*'Inputs &amp; Outputs'!$B$6</f>
        <v>-3.0355048728567295</v>
      </c>
      <c r="D292">
        <f>(-'Inputs &amp; Outputs'!$B$4*B292)/'Inputs &amp; Outputs'!$B$5</f>
        <v>1.4002023877403047</v>
      </c>
      <c r="E292">
        <f>1/2*'Inputs &amp; Outputs'!$B$5*'Iterative Steps'!C292^2</f>
        <v>92.142898331369508</v>
      </c>
      <c r="F292">
        <f>1/2*'Inputs &amp; Outputs'!$B$4*'Iterative Steps'!B292^2</f>
        <v>78.422669065346028</v>
      </c>
      <c r="G292">
        <f t="shared" si="5"/>
        <v>170.56556739671555</v>
      </c>
    </row>
    <row r="293" spans="1:7" x14ac:dyDescent="0.2">
      <c r="A293">
        <f>A292+'Inputs &amp; Outputs'!$B$6</f>
        <v>7.3136276975570826</v>
      </c>
      <c r="B293">
        <f>B292+C293*'Inputs &amp; Outputs'!$B$6</f>
        <v>-5.6762156650357394</v>
      </c>
      <c r="C293">
        <f>C292+D292*'Inputs &amp; Outputs'!$B$6</f>
        <v>-3.0003139485778187</v>
      </c>
      <c r="D293">
        <f>(-'Inputs &amp; Outputs'!$B$4*B293)/'Inputs &amp; Outputs'!$B$5</f>
        <v>1.4190539162589348</v>
      </c>
      <c r="E293">
        <f>1/2*'Inputs &amp; Outputs'!$B$5*'Iterative Steps'!C293^2</f>
        <v>90.01883790030621</v>
      </c>
      <c r="F293">
        <f>1/2*'Inputs &amp; Outputs'!$B$4*'Iterative Steps'!B293^2</f>
        <v>80.548560689992797</v>
      </c>
      <c r="G293">
        <f t="shared" si="5"/>
        <v>170.56739859029901</v>
      </c>
    </row>
    <row r="294" spans="1:7" x14ac:dyDescent="0.2">
      <c r="A294">
        <f>A293+'Inputs &amp; Outputs'!$B$6</f>
        <v>7.3387604387858012</v>
      </c>
      <c r="B294">
        <f>B293+C294*'Inputs &amp; Outputs'!$B$6</f>
        <v>-5.7507254270605133</v>
      </c>
      <c r="C294">
        <f>C293+D293*'Inputs &amp; Outputs'!$B$6</f>
        <v>-2.9646492337108836</v>
      </c>
      <c r="D294">
        <f>(-'Inputs &amp; Outputs'!$B$4*B294)/'Inputs &amp; Outputs'!$B$5</f>
        <v>1.4376813567651283</v>
      </c>
      <c r="E294">
        <f>1/2*'Inputs &amp; Outputs'!$B$5*'Iterative Steps'!C294^2</f>
        <v>87.891450789425306</v>
      </c>
      <c r="F294">
        <f>1/2*'Inputs &amp; Outputs'!$B$4*'Iterative Steps'!B294^2</f>
        <v>82.677107343600809</v>
      </c>
      <c r="G294">
        <f t="shared" si="5"/>
        <v>170.5685581330261</v>
      </c>
    </row>
    <row r="295" spans="1:7" x14ac:dyDescent="0.2">
      <c r="A295">
        <f>A294+'Inputs &amp; Outputs'!$B$6</f>
        <v>7.3638931800145198</v>
      </c>
      <c r="B295">
        <f>B294+C295*'Inputs &amp; Outputs'!$B$6</f>
        <v>-5.8243270709255368</v>
      </c>
      <c r="C295">
        <f>C294+D294*'Inputs &amp; Outputs'!$B$6</f>
        <v>-2.9285163602019528</v>
      </c>
      <c r="D295">
        <f>(-'Inputs &amp; Outputs'!$B$4*B295)/'Inputs &amp; Outputs'!$B$5</f>
        <v>1.4560817677313842</v>
      </c>
      <c r="E295">
        <f>1/2*'Inputs &amp; Outputs'!$B$5*'Iterative Steps'!C295^2</f>
        <v>85.762080719704954</v>
      </c>
      <c r="F295">
        <f>1/2*'Inputs &amp; Outputs'!$B$4*'Iterative Steps'!B295^2</f>
        <v>84.806964572790108</v>
      </c>
      <c r="G295">
        <f t="shared" si="5"/>
        <v>170.56904529249505</v>
      </c>
    </row>
    <row r="296" spans="1:7" x14ac:dyDescent="0.2">
      <c r="A296">
        <f>A295+'Inputs &amp; Outputs'!$B$6</f>
        <v>7.3890259212432383</v>
      </c>
      <c r="B296">
        <f>B295+C296*'Inputs &amp; Outputs'!$B$6</f>
        <v>-5.8970089739250788</v>
      </c>
      <c r="C296">
        <f>C295+D295*'Inputs &amp; Outputs'!$B$6</f>
        <v>-2.8919210339257053</v>
      </c>
      <c r="D296">
        <f>(-'Inputs &amp; Outputs'!$B$4*B296)/'Inputs &amp; Outputs'!$B$5</f>
        <v>1.4742522434812697</v>
      </c>
      <c r="E296">
        <f>1/2*'Inputs &amp; Outputs'!$B$5*'Iterative Steps'!C296^2</f>
        <v>83.632072664619201</v>
      </c>
      <c r="F296">
        <f>1/2*'Inputs &amp; Outputs'!$B$4*'Iterative Steps'!B296^2</f>
        <v>86.936787096382275</v>
      </c>
      <c r="G296">
        <f t="shared" si="5"/>
        <v>170.56885976100148</v>
      </c>
    </row>
    <row r="297" spans="1:7" x14ac:dyDescent="0.2">
      <c r="A297">
        <f>A296+'Inputs &amp; Outputs'!$B$6</f>
        <v>7.4141586624719569</v>
      </c>
      <c r="B297">
        <f>B296+C297*'Inputs &amp; Outputs'!$B$6</f>
        <v>-5.968759658593064</v>
      </c>
      <c r="C297">
        <f>C296+D296*'Inputs &amp; Outputs'!$B$6</f>
        <v>-2.8548690337844329</v>
      </c>
      <c r="D297">
        <f>(-'Inputs &amp; Outputs'!$B$4*B297)/'Inputs &amp; Outputs'!$B$5</f>
        <v>1.492189914648266</v>
      </c>
      <c r="E297">
        <f>1/2*'Inputs &amp; Outputs'!$B$5*'Iterative Steps'!C297^2</f>
        <v>81.502772000612609</v>
      </c>
      <c r="F297">
        <f>1/2*'Inputs &amp; Outputs'!$B$4*'Iterative Steps'!B297^2</f>
        <v>89.065229655119978</v>
      </c>
      <c r="G297">
        <f t="shared" si="5"/>
        <v>170.56800165573259</v>
      </c>
    </row>
    <row r="298" spans="1:7" x14ac:dyDescent="0.2">
      <c r="A298">
        <f>A297+'Inputs &amp; Outputs'!$B$6</f>
        <v>7.4392914037006754</v>
      </c>
      <c r="B298">
        <f>B297+C298*'Inputs &amp; Outputs'!$B$6</f>
        <v>-6.0395677945155217</v>
      </c>
      <c r="C298">
        <f>C297+D297*'Inputs &amp; Outputs'!$B$6</f>
        <v>-2.8173662107954747</v>
      </c>
      <c r="D298">
        <f>(-'Inputs &amp; Outputs'!$B$4*B298)/'Inputs &amp; Outputs'!$B$5</f>
        <v>1.5098919486288804</v>
      </c>
      <c r="E298">
        <f>1/2*'Inputs &amp; Outputs'!$B$5*'Iterative Steps'!C298^2</f>
        <v>79.375523657320514</v>
      </c>
      <c r="F298">
        <f>1/2*'Inputs &amp; Outputs'!$B$4*'Iterative Steps'!B298^2</f>
        <v>91.190947861372706</v>
      </c>
      <c r="G298">
        <f t="shared" si="5"/>
        <v>170.56647151869322</v>
      </c>
    </row>
    <row r="299" spans="1:7" x14ac:dyDescent="0.2">
      <c r="A299">
        <f>A298+'Inputs &amp; Outputs'!$B$6</f>
        <v>7.464424144929394</v>
      </c>
      <c r="B299">
        <f>B298+C299*'Inputs &amp; Outputs'!$B$6</f>
        <v>-6.1094222001198126</v>
      </c>
      <c r="C299">
        <f>C298+D298*'Inputs &amp; Outputs'!$B$6</f>
        <v>-2.7794184871672596</v>
      </c>
      <c r="D299">
        <f>(-'Inputs &amp; Outputs'!$B$4*B299)/'Inputs &amp; Outputs'!$B$5</f>
        <v>1.5273555500299532</v>
      </c>
      <c r="E299">
        <f>1/2*'Inputs &amp; Outputs'!$B$5*'Iterative Steps'!C299^2</f>
        <v>77.251671268071377</v>
      </c>
      <c r="F299">
        <f>1/2*'Inputs &amp; Outputs'!$B$4*'Iterative Steps'!B299^2</f>
        <v>93.312599048292029</v>
      </c>
      <c r="G299">
        <f t="shared" si="5"/>
        <v>170.56427031636341</v>
      </c>
    </row>
    <row r="300" spans="1:7" x14ac:dyDescent="0.2">
      <c r="A300">
        <f>A299+'Inputs &amp; Outputs'!$B$6</f>
        <v>7.4895568861581125</v>
      </c>
      <c r="B300">
        <f>B299+C300*'Inputs &amp; Outputs'!$B$6</f>
        <v>-6.1783118444403522</v>
      </c>
      <c r="C300">
        <f>C299+D299*'Inputs &amp; Outputs'!$B$6</f>
        <v>-2.7410318553641102</v>
      </c>
      <c r="D300">
        <f>(-'Inputs &amp; Outputs'!$B$4*B300)/'Inputs &amp; Outputs'!$B$5</f>
        <v>1.544577961110088</v>
      </c>
      <c r="E300">
        <f>1/2*'Inputs &amp; Outputs'!$B$5*'Iterative Steps'!C300^2</f>
        <v>75.132556321208156</v>
      </c>
      <c r="F300">
        <f>1/2*'Inputs &amp; Outputs'!$B$4*'Iterative Steps'!B300^2</f>
        <v>95.428843117879865</v>
      </c>
      <c r="G300">
        <f t="shared" si="5"/>
        <v>170.56139943908801</v>
      </c>
    </row>
    <row r="301" spans="1:7" x14ac:dyDescent="0.2">
      <c r="A301">
        <f>A300+'Inputs &amp; Outputs'!$B$6</f>
        <v>7.5146896273868311</v>
      </c>
      <c r="B301">
        <f>B300+C301*'Inputs &amp; Outputs'!$B$6</f>
        <v>-6.2462258488605533</v>
      </c>
      <c r="C301">
        <f>C300+D300*'Inputs &amp; Outputs'!$B$6</f>
        <v>-2.7022123771599489</v>
      </c>
      <c r="D301">
        <f>(-'Inputs &amp; Outputs'!$B$4*B301)/'Inputs &amp; Outputs'!$B$5</f>
        <v>1.5615564622151383</v>
      </c>
      <c r="E301">
        <f>1/2*'Inputs &amp; Outputs'!$B$5*'Iterative Steps'!C301^2</f>
        <v>73.019517312764208</v>
      </c>
      <c r="F301">
        <f>1/2*'Inputs &amp; Outputs'!$B$4*'Iterative Steps'!B301^2</f>
        <v>97.538343387434338</v>
      </c>
      <c r="G301">
        <f t="shared" si="5"/>
        <v>170.55786070019855</v>
      </c>
    </row>
    <row r="302" spans="1:7" x14ac:dyDescent="0.2">
      <c r="A302">
        <f>A301+'Inputs &amp; Outputs'!$B$6</f>
        <v>7.5398223686155497</v>
      </c>
      <c r="B302">
        <f>B301+C302*'Inputs &amp; Outputs'!$B$6</f>
        <v>-6.3131534888307046</v>
      </c>
      <c r="C302">
        <f>C301+D301*'Inputs &amp; Outputs'!$B$6</f>
        <v>-2.6629661826810631</v>
      </c>
      <c r="D302">
        <f>(-'Inputs &amp; Outputs'!$B$4*B302)/'Inputs &amp; Outputs'!$B$5</f>
        <v>1.5782883722076761</v>
      </c>
      <c r="E302">
        <f>1/2*'Inputs &amp; Outputs'!$B$5*'Iterative Steps'!C302^2</f>
        <v>70.913888901029537</v>
      </c>
      <c r="F302">
        <f>1/2*'Inputs &amp; Outputs'!$B$4*'Iterative Steps'!B302^2</f>
        <v>99.639767433838244</v>
      </c>
      <c r="G302">
        <f t="shared" si="5"/>
        <v>170.55365633486778</v>
      </c>
    </row>
    <row r="303" spans="1:7" x14ac:dyDescent="0.2">
      <c r="A303">
        <f>A302+'Inputs &amp; Outputs'!$B$6</f>
        <v>7.5649551098442682</v>
      </c>
      <c r="B303">
        <f>B302+C303*'Inputs &amp; Outputs'!$B$6</f>
        <v>-6.3790841955615258</v>
      </c>
      <c r="C303">
        <f>C302+D302*'Inputs &amp; Outputs'!$B$6</f>
        <v>-2.6232994694380727</v>
      </c>
      <c r="D303">
        <f>(-'Inputs &amp; Outputs'!$B$4*B303)/'Inputs &amp; Outputs'!$B$5</f>
        <v>1.5947710488903815</v>
      </c>
      <c r="E303">
        <f>1/2*'Inputs &amp; Outputs'!$B$5*'Iterative Steps'!C303^2</f>
        <v>68.817001063540729</v>
      </c>
      <c r="F303">
        <f>1/2*'Inputs &amp; Outputs'!$B$4*'Iterative Steps'!B303^2</f>
        <v>101.7317879351571</v>
      </c>
      <c r="G303">
        <f t="shared" si="5"/>
        <v>170.54878899869783</v>
      </c>
    </row>
    <row r="304" spans="1:7" x14ac:dyDescent="0.2">
      <c r="A304">
        <f>A303+'Inputs &amp; Outputs'!$B$6</f>
        <v>7.5900878510729868</v>
      </c>
      <c r="B304">
        <f>B303+C304*'Inputs &amp; Outputs'!$B$6</f>
        <v>-6.4440075576931237</v>
      </c>
      <c r="C304">
        <f>C303+D303*'Inputs &amp; Outputs'!$B$6</f>
        <v>-2.5832185013472588</v>
      </c>
      <c r="D304">
        <f>(-'Inputs &amp; Outputs'!$B$4*B304)/'Inputs &amp; Outputs'!$B$5</f>
        <v>1.6110018894232809</v>
      </c>
      <c r="E304">
        <f>1/2*'Inputs &amp; Outputs'!$B$5*'Iterative Steps'!C304^2</f>
        <v>66.730178257027774</v>
      </c>
      <c r="F304">
        <f>1/2*'Inputs &amp; Outputs'!$B$4*'Iterative Steps'!B304^2</f>
        <v>103.81308350901523</v>
      </c>
      <c r="G304">
        <f t="shared" si="5"/>
        <v>170.543261766043</v>
      </c>
    </row>
    <row r="305" spans="1:7" x14ac:dyDescent="0.2">
      <c r="A305">
        <f>A304+'Inputs &amp; Outputs'!$B$6</f>
        <v>7.6152205923017053</v>
      </c>
      <c r="B305">
        <f>B304+C305*'Inputs &amp; Outputs'!$B$6</f>
        <v>-6.5079133229390891</v>
      </c>
      <c r="C305">
        <f>C304+D304*'Inputs &amp; Outputs'!$B$6</f>
        <v>-2.542729607741407</v>
      </c>
      <c r="D305">
        <f>(-'Inputs &amp; Outputs'!$B$4*B305)/'Inputs &amp; Outputs'!$B$5</f>
        <v>1.6269783307347723</v>
      </c>
      <c r="E305">
        <f>1/2*'Inputs &amp; Outputs'!$B$5*'Iterative Steps'!C305^2</f>
        <v>64.654738580847692</v>
      </c>
      <c r="F305">
        <f>1/2*'Inputs &amp; Outputs'!$B$4*'Iterative Steps'!B305^2</f>
        <v>105.88233954722025</v>
      </c>
      <c r="G305">
        <f t="shared" si="5"/>
        <v>170.53707812806795</v>
      </c>
    </row>
    <row r="306" spans="1:7" x14ac:dyDescent="0.2">
      <c r="A306">
        <f>A305+'Inputs &amp; Outputs'!$B$6</f>
        <v>7.6403533335304239</v>
      </c>
      <c r="B306">
        <f>B305+C306*'Inputs &amp; Outputs'!$B$6</f>
        <v>-6.5707913997054703</v>
      </c>
      <c r="C306">
        <f>C305+D305*'Inputs &amp; Outputs'!$B$6</f>
        <v>-2.5018391823703179</v>
      </c>
      <c r="D306">
        <f>(-'Inputs &amp; Outputs'!$B$4*B306)/'Inputs &amp; Outputs'!$B$5</f>
        <v>1.6426978499263676</v>
      </c>
      <c r="E306">
        <f>1/2*'Inputs &amp; Outputs'!$B$5*'Iterative Steps'!C306^2</f>
        <v>62.591992944433805</v>
      </c>
      <c r="F306">
        <f>1/2*'Inputs &amp; Outputs'!$B$4*'Iterative Steps'!B306^2</f>
        <v>107.93824904610844</v>
      </c>
      <c r="G306">
        <f t="shared" si="5"/>
        <v>170.53024199054224</v>
      </c>
    </row>
    <row r="307" spans="1:7" x14ac:dyDescent="0.2">
      <c r="A307">
        <f>A306+'Inputs &amp; Outputs'!$B$6</f>
        <v>7.6654860747591425</v>
      </c>
      <c r="B307">
        <f>B306+C307*'Inputs &amp; Outputs'!$B$6</f>
        <v>-6.6326318586843769</v>
      </c>
      <c r="C307">
        <f>C306+D306*'Inputs &amp; Outputs'!$B$6</f>
        <v>-2.4605536823911467</v>
      </c>
      <c r="D307">
        <f>(-'Inputs &amp; Outputs'!$B$4*B307)/'Inputs &amp; Outputs'!$B$5</f>
        <v>1.6581579646710942</v>
      </c>
      <c r="E307">
        <f>1/2*'Inputs &amp; Outputs'!$B$5*'Iterative Steps'!C307^2</f>
        <v>60.543244239286324</v>
      </c>
      <c r="F307">
        <f>1/2*'Inputs &amp; Outputs'!$B$4*'Iterative Steps'!B307^2</f>
        <v>109.97951343208743</v>
      </c>
      <c r="G307">
        <f t="shared" si="5"/>
        <v>170.52275767137377</v>
      </c>
    </row>
    <row r="308" spans="1:7" x14ac:dyDescent="0.2">
      <c r="A308">
        <f>A307+'Inputs &amp; Outputs'!$B$6</f>
        <v>7.690618815987861</v>
      </c>
      <c r="B308">
        <f>B307+C308*'Inputs &amp; Outputs'!$B$6</f>
        <v>-6.6934249344219507</v>
      </c>
      <c r="C308">
        <f>C307+D307*'Inputs &amp; Outputs'!$B$6</f>
        <v>-2.4188796273487299</v>
      </c>
      <c r="D308">
        <f>(-'Inputs &amp; Outputs'!$B$4*B308)/'Inputs &amp; Outputs'!$B$5</f>
        <v>1.6733562336054877</v>
      </c>
      <c r="E308">
        <f>1/2*'Inputs &amp; Outputs'!$B$5*'Iterative Steps'!C308^2</f>
        <v>58.509786516027305</v>
      </c>
      <c r="F308">
        <f>1/2*'Inputs &amp; Outputs'!$B$4*'Iterative Steps'!B308^2</f>
        <v>112.00484338185375</v>
      </c>
      <c r="G308">
        <f t="shared" si="5"/>
        <v>170.51462989788104</v>
      </c>
    </row>
    <row r="309" spans="1:7" x14ac:dyDescent="0.2">
      <c r="A309">
        <f>A308+'Inputs &amp; Outputs'!$B$6</f>
        <v>7.7157515572165796</v>
      </c>
      <c r="B309">
        <f>B308+C309*'Inputs &amp; Outputs'!$B$6</f>
        <v>-6.7531610268604672</v>
      </c>
      <c r="C309">
        <f>C308+D308*'Inputs &amp; Outputs'!$B$6</f>
        <v>-2.3768235981460606</v>
      </c>
      <c r="D309">
        <f>(-'Inputs &amp; Outputs'!$B$4*B309)/'Inputs &amp; Outputs'!$B$5</f>
        <v>1.6882902567151166</v>
      </c>
      <c r="E309">
        <f>1/2*'Inputs &amp; Outputs'!$B$5*'Iterative Steps'!C309^2</f>
        <v>56.492904167039853</v>
      </c>
      <c r="F309">
        <f>1/2*'Inputs &amp; Outputs'!$B$4*'Iterative Steps'!B309^2</f>
        <v>114.0129596367678</v>
      </c>
      <c r="G309">
        <f t="shared" si="5"/>
        <v>170.50586380380764</v>
      </c>
    </row>
    <row r="310" spans="1:7" x14ac:dyDescent="0.2">
      <c r="A310">
        <f>A309+'Inputs &amp; Outputs'!$B$6</f>
        <v>7.7408842984452981</v>
      </c>
      <c r="B310">
        <f>B309+C310*'Inputs &amp; Outputs'!$B$6</f>
        <v>-6.8118307028543121</v>
      </c>
      <c r="C310">
        <f>C309+D309*'Inputs &amp; Outputs'!$B$6</f>
        <v>-2.3343922360050731</v>
      </c>
      <c r="D310">
        <f>(-'Inputs &amp; Outputs'!$B$4*B310)/'Inputs &amp; Outputs'!$B$5</f>
        <v>1.7029576757135778</v>
      </c>
      <c r="E310">
        <f>1/2*'Inputs &amp; Outputs'!$B$5*'Iterative Steps'!C310^2</f>
        <v>54.493871115207646</v>
      </c>
      <c r="F310">
        <f>1/2*'Inputs &amp; Outputs'!$B$4*'Iterative Steps'!B310^2</f>
        <v>116.00259381087169</v>
      </c>
      <c r="G310">
        <f t="shared" si="5"/>
        <v>170.49646492607934</v>
      </c>
    </row>
    <row r="311" spans="1:7" x14ac:dyDescent="0.2">
      <c r="A311">
        <f>A310+'Inputs &amp; Outputs'!$B$6</f>
        <v>7.7660170396740167</v>
      </c>
      <c r="B311">
        <f>B310+C311*'Inputs &amp; Outputs'!$B$6</f>
        <v>-6.8694246976596069</v>
      </c>
      <c r="C311">
        <f>C310+D310*'Inputs &amp; Outputs'!$B$6</f>
        <v>-2.291592241417904</v>
      </c>
      <c r="D311">
        <f>(-'Inputs &amp; Outputs'!$B$4*B311)/'Inputs &amp; Outputs'!$B$5</f>
        <v>1.717356174414902</v>
      </c>
      <c r="E311">
        <f>1/2*'Inputs &amp; Outputs'!$B$5*'Iterative Steps'!C311^2</f>
        <v>52.513950009267333</v>
      </c>
      <c r="F311">
        <f>1/2*'Inputs &amp; Outputs'!$B$4*'Iterative Steps'!B311^2</f>
        <v>117.97248919203946</v>
      </c>
      <c r="G311">
        <f t="shared" si="5"/>
        <v>170.48643920130678</v>
      </c>
    </row>
    <row r="312" spans="1:7" x14ac:dyDescent="0.2">
      <c r="A312">
        <f>A311+'Inputs &amp; Outputs'!$B$6</f>
        <v>7.7911497809027352</v>
      </c>
      <c r="B312">
        <f>B311+C312*'Inputs &amp; Outputs'!$B$6</f>
        <v>-6.9259339163972387</v>
      </c>
      <c r="C312">
        <f>C311+D311*'Inputs &amp; Outputs'!$B$6</f>
        <v>-2.2484303730887927</v>
      </c>
      <c r="D312">
        <f>(-'Inputs &amp; Outputs'!$B$4*B312)/'Inputs &amp; Outputs'!$B$5</f>
        <v>1.7314834790993097</v>
      </c>
      <c r="E312">
        <f>1/2*'Inputs &amp; Outputs'!$B$5*'Iterative Steps'!C312^2</f>
        <v>50.554391426282081</v>
      </c>
      <c r="F312">
        <f>1/2*'Inputs &amp; Outputs'!$B$4*'Iterative Steps'!B312^2</f>
        <v>119.92140153575399</v>
      </c>
      <c r="G312">
        <f t="shared" si="5"/>
        <v>170.47579296203605</v>
      </c>
    </row>
    <row r="313" spans="1:7" x14ac:dyDescent="0.2">
      <c r="A313">
        <f>A312+'Inputs &amp; Outputs'!$B$6</f>
        <v>7.8162825221314538</v>
      </c>
      <c r="B313">
        <f>B312+C313*'Inputs &amp; Outputs'!$B$6</f>
        <v>-6.9813494354890633</v>
      </c>
      <c r="C313">
        <f>C312+D312*'Inputs &amp; Outputs'!$B$6</f>
        <v>-2.2049134468667888</v>
      </c>
      <c r="D313">
        <f>(-'Inputs &amp; Outputs'!$B$4*B313)/'Inputs &amp; Outputs'!$B$5</f>
        <v>1.7453373588722658</v>
      </c>
      <c r="E313">
        <f>1/2*'Inputs &amp; Outputs'!$B$5*'Iterative Steps'!C313^2</f>
        <v>48.616433081739828</v>
      </c>
      <c r="F313">
        <f>1/2*'Inputs &amp; Outputs'!$B$4*'Iterative Steps'!B313^2</f>
        <v>121.84809985100867</v>
      </c>
      <c r="G313">
        <f t="shared" si="5"/>
        <v>170.46453293274851</v>
      </c>
    </row>
    <row r="314" spans="1:7" x14ac:dyDescent="0.2">
      <c r="A314">
        <f>A313+'Inputs &amp; Outputs'!$B$6</f>
        <v>7.8414152633601724</v>
      </c>
      <c r="B314">
        <f>B313+C314*'Inputs &amp; Outputs'!$B$6</f>
        <v>-7.0356625040670631</v>
      </c>
      <c r="C314">
        <f>C313+D313*'Inputs &amp; Outputs'!$B$6</f>
        <v>-2.1610483346694376</v>
      </c>
      <c r="D314">
        <f>(-'Inputs &amp; Outputs'!$B$4*B314)/'Inputs &amp; Outputs'!$B$5</f>
        <v>1.758915626016766</v>
      </c>
      <c r="E314">
        <f>1/2*'Inputs &amp; Outputs'!$B$5*'Iterative Steps'!C314^2</f>
        <v>46.701299047775493</v>
      </c>
      <c r="F314">
        <f>1/2*'Inputs &amp; Outputs'!$B$4*'Iterative Steps'!B314^2</f>
        <v>123.75136717783803</v>
      </c>
      <c r="G314">
        <f t="shared" si="5"/>
        <v>170.45266622561354</v>
      </c>
    </row>
    <row r="315" spans="1:7" x14ac:dyDescent="0.2">
      <c r="A315">
        <f>A314+'Inputs &amp; Outputs'!$B$6</f>
        <v>7.8665480045888909</v>
      </c>
      <c r="B315">
        <f>B314+C315*'Inputs &amp; Outputs'!$B$6</f>
        <v>-7.0888645453552268</v>
      </c>
      <c r="C315">
        <f>C314+D314*'Inputs &amp; Outputs'!$B$6</f>
        <v>-2.1168419633976092</v>
      </c>
      <c r="D315">
        <f>(-'Inputs &amp; Outputs'!$B$4*B315)/'Inputs &amp; Outputs'!$B$5</f>
        <v>1.7722161363388067</v>
      </c>
      <c r="E315">
        <f>1/2*'Inputs &amp; Outputs'!$B$5*'Iterative Steps'!C315^2</f>
        <v>44.810198980010448</v>
      </c>
      <c r="F315">
        <f>1/2*'Inputs &amp; Outputs'!$B$4*'Iterative Steps'!B315^2</f>
        <v>125.63000135598591</v>
      </c>
      <c r="G315">
        <f t="shared" si="5"/>
        <v>170.44020033599637</v>
      </c>
    </row>
    <row r="316" spans="1:7" x14ac:dyDescent="0.2">
      <c r="A316">
        <f>A315+'Inputs &amp; Outputs'!$B$6</f>
        <v>7.8916807458176095</v>
      </c>
      <c r="B316">
        <f>B315+C316*'Inputs &amp; Outputs'!$B$6</f>
        <v>-7.1409471580239421</v>
      </c>
      <c r="C316">
        <f>C315+D315*'Inputs &amp; Outputs'!$B$6</f>
        <v>-2.0723013138416468</v>
      </c>
      <c r="D316">
        <f>(-'Inputs &amp; Outputs'!$B$4*B316)/'Inputs &amp; Outputs'!$B$5</f>
        <v>1.7852367895059857</v>
      </c>
      <c r="E316">
        <f>1/2*'Inputs &amp; Outputs'!$B$5*'Iterative Steps'!C316^2</f>
        <v>42.944327353498153</v>
      </c>
      <c r="F316">
        <f>1/2*'Inputs &amp; Outputs'!$B$4*'Iterative Steps'!B316^2</f>
        <v>127.48281578422555</v>
      </c>
      <c r="G316">
        <f t="shared" si="5"/>
        <v>170.4271431377237</v>
      </c>
    </row>
    <row r="317" spans="1:7" x14ac:dyDescent="0.2">
      <c r="A317">
        <f>A316+'Inputs &amp; Outputs'!$B$6</f>
        <v>7.916813487046328</v>
      </c>
      <c r="B317">
        <f>B316+C317*'Inputs &amp; Outputs'!$B$6</f>
        <v>-7.1919021175166771</v>
      </c>
      <c r="C317">
        <f>C316+D316*'Inputs &amp; Outputs'!$B$6</f>
        <v>-2.0274334195790051</v>
      </c>
      <c r="D317">
        <f>(-'Inputs &amp; Outputs'!$B$4*B317)/'Inputs &amp; Outputs'!$B$5</f>
        <v>1.7979755293791695</v>
      </c>
      <c r="E317">
        <f>1/2*'Inputs &amp; Outputs'!$B$5*'Iterative Steps'!C317^2</f>
        <v>41.104862708258182</v>
      </c>
      <c r="F317">
        <f>1/2*'Inputs &amp; Outputs'!$B$4*'Iterative Steps'!B317^2</f>
        <v>129.30864016985217</v>
      </c>
      <c r="G317">
        <f t="shared" si="5"/>
        <v>170.41350287811036</v>
      </c>
    </row>
    <row r="318" spans="1:7" x14ac:dyDescent="0.2">
      <c r="A318">
        <f>A317+'Inputs &amp; Outputs'!$B$6</f>
        <v>7.9419462282750466</v>
      </c>
      <c r="B318">
        <f>B317+C318*'Inputs &amp; Outputs'!$B$6</f>
        <v>-7.2417213773487514</v>
      </c>
      <c r="C318">
        <f>C317+D317*'Inputs &amp; Outputs'!$B$6</f>
        <v>-1.9822453658635506</v>
      </c>
      <c r="D318">
        <f>(-'Inputs &amp; Outputs'!$B$4*B318)/'Inputs &amp; Outputs'!$B$5</f>
        <v>1.8104303443371879</v>
      </c>
      <c r="E318">
        <f>1/2*'Inputs &amp; Outputs'!$B$5*'Iterative Steps'!C318^2</f>
        <v>39.292966904875215</v>
      </c>
      <c r="F318">
        <f>1/2*'Inputs &amp; Outputs'!$B$4*'Iterative Steps'!B318^2</f>
        <v>131.10632126787473</v>
      </c>
      <c r="G318">
        <f t="shared" si="5"/>
        <v>170.39928817274995</v>
      </c>
    </row>
    <row r="319" spans="1:7" x14ac:dyDescent="0.2">
      <c r="A319">
        <f>A318+'Inputs &amp; Outputs'!$B$6</f>
        <v>7.9670789695037652</v>
      </c>
      <c r="B319">
        <f>B318+C319*'Inputs &amp; Outputs'!$B$6</f>
        <v>-7.2903970703779883</v>
      </c>
      <c r="C319">
        <f>C318+D318*'Inputs &amp; Outputs'!$B$6</f>
        <v>-1.9367442885067045</v>
      </c>
      <c r="D319">
        <f>(-'Inputs &amp; Outputs'!$B$4*B319)/'Inputs &amp; Outputs'!$B$5</f>
        <v>1.8225992675944973</v>
      </c>
      <c r="E319">
        <f>1/2*'Inputs &amp; Outputs'!$B$5*'Iterative Steps'!C319^2</f>
        <v>37.509784390633413</v>
      </c>
      <c r="F319">
        <f>1/2*'Inputs &amp; Outputs'!$B$4*'Iterative Steps'!B319^2</f>
        <v>132.87472360943988</v>
      </c>
      <c r="G319">
        <f t="shared" si="5"/>
        <v>170.38450800007331</v>
      </c>
    </row>
    <row r="320" spans="1:7" x14ac:dyDescent="0.2">
      <c r="A320">
        <f>A319+'Inputs &amp; Outputs'!$B$6</f>
        <v>7.9922117107324837</v>
      </c>
      <c r="B320">
        <f>B319+C320*'Inputs &amp; Outputs'!$B$6</f>
        <v>-7.3379215100470416</v>
      </c>
      <c r="C320">
        <f>C319+D319*'Inputs &amp; Outputs'!$B$6</f>
        <v>-1.8909373727506005</v>
      </c>
      <c r="D320">
        <f>(-'Inputs &amp; Outputs'!$B$4*B320)/'Inputs &amp; Outputs'!$B$5</f>
        <v>1.8344803775117604</v>
      </c>
      <c r="E320">
        <f>1/2*'Inputs &amp; Outputs'!$B$5*'Iterative Steps'!C320^2</f>
        <v>35.756441476649435</v>
      </c>
      <c r="F320">
        <f>1/2*'Inputs &amp; Outputs'!$B$4*'Iterative Steps'!B320^2</f>
        <v>134.61273021902764</v>
      </c>
      <c r="G320">
        <f t="shared" si="5"/>
        <v>170.36917169567707</v>
      </c>
    </row>
    <row r="321" spans="1:7" x14ac:dyDescent="0.2">
      <c r="A321">
        <f>A320+'Inputs &amp; Outputs'!$B$6</f>
        <v>8.0173444519612023</v>
      </c>
      <c r="B321">
        <f>B320+C321*'Inputs &amp; Outputs'!$B$6</f>
        <v>-7.3842871915972088</v>
      </c>
      <c r="C321">
        <f>C320+D320*'Inputs &amp; Outputs'!$B$6</f>
        <v>-1.8448318521334359</v>
      </c>
      <c r="D321">
        <f>(-'Inputs &amp; Outputs'!$B$4*B321)/'Inputs &amp; Outputs'!$B$5</f>
        <v>1.846071797899302</v>
      </c>
      <c r="E321">
        <f>1/2*'Inputs &amp; Outputs'!$B$5*'Iterative Steps'!C321^2</f>
        <v>34.034045626460838</v>
      </c>
      <c r="F321">
        <f>1/2*'Inputs &amp; Outputs'!$B$4*'Iterative Steps'!B321^2</f>
        <v>136.31924331996649</v>
      </c>
      <c r="G321">
        <f t="shared" si="5"/>
        <v>170.35328894642731</v>
      </c>
    </row>
    <row r="322" spans="1:7" x14ac:dyDescent="0.2">
      <c r="A322">
        <f>A321+'Inputs &amp; Outputs'!$B$6</f>
        <v>8.0424771931899208</v>
      </c>
      <c r="B322">
        <f>B321+C322*'Inputs &amp; Outputs'!$B$6</f>
        <v>-7.4294867932535338</v>
      </c>
      <c r="C322">
        <f>C321+D321*'Inputs &amp; Outputs'!$B$6</f>
        <v>-1.798435007347198</v>
      </c>
      <c r="D322">
        <f>(-'Inputs &amp; Outputs'!$B$4*B322)/'Inputs &amp; Outputs'!$B$5</f>
        <v>1.8573716983133834</v>
      </c>
      <c r="E322">
        <f>1/2*'Inputs &amp; Outputs'!$B$5*'Iterative Steps'!C322^2</f>
        <v>32.34368475651916</v>
      </c>
      <c r="F322">
        <f>1/2*'Inputs &amp; Outputs'!$B$4*'Iterative Steps'!B322^2</f>
        <v>137.99318502782168</v>
      </c>
      <c r="G322">
        <f t="shared" si="5"/>
        <v>170.33686978434085</v>
      </c>
    </row>
    <row r="323" spans="1:7" x14ac:dyDescent="0.2">
      <c r="A323">
        <f>A322+'Inputs &amp; Outputs'!$B$6</f>
        <v>8.0676099344186394</v>
      </c>
      <c r="B323">
        <f>B322+C323*'Inputs &amp; Outputs'!$B$6</f>
        <v>-7.4735131773810188</v>
      </c>
      <c r="C323">
        <f>C322+D322*'Inputs &amp; Outputs'!$B$6</f>
        <v>-1.7517541650879427</v>
      </c>
      <c r="D323">
        <f>(-'Inputs &amp; Outputs'!$B$4*B323)/'Inputs &amp; Outputs'!$B$5</f>
        <v>1.8683782943452549</v>
      </c>
      <c r="E323">
        <f>1/2*'Inputs &amp; Outputs'!$B$5*'Iterative Steps'!C323^2</f>
        <v>30.686426549029552</v>
      </c>
      <c r="F323">
        <f>1/2*'Inputs &amp; Outputs'!$B$4*'Iterative Steps'!B323^2</f>
        <v>139.63349803121932</v>
      </c>
      <c r="G323">
        <f t="shared" ref="G323:G386" si="6">SUM(E323:F323)</f>
        <v>170.31992458024888</v>
      </c>
    </row>
    <row r="324" spans="1:7" x14ac:dyDescent="0.2">
      <c r="A324">
        <f>A323+'Inputs &amp; Outputs'!$B$6</f>
        <v>8.0927426756473579</v>
      </c>
      <c r="B324">
        <f>B323+C324*'Inputs &amp; Outputs'!$B$6</f>
        <v>-7.5163593916117506</v>
      </c>
      <c r="C324">
        <f>C323+D323*'Inputs &amp; Outputs'!$B$6</f>
        <v>-1.7047966968988093</v>
      </c>
      <c r="D324">
        <f>(-'Inputs &amp; Outputs'!$B$4*B324)/'Inputs &amp; Outputs'!$B$5</f>
        <v>1.8790898479029376</v>
      </c>
      <c r="E324">
        <f>1/2*'Inputs &amp; Outputs'!$B$5*'Iterative Steps'!C324^2</f>
        <v>29.063317777570905</v>
      </c>
      <c r="F324">
        <f>1/2*'Inputs &amp; Outputs'!$B$4*'Iterative Steps'!B324^2</f>
        <v>141.23914625967541</v>
      </c>
      <c r="G324">
        <f t="shared" si="6"/>
        <v>170.30246403724632</v>
      </c>
    </row>
    <row r="325" spans="1:7" x14ac:dyDescent="0.2">
      <c r="A325">
        <f>A324+'Inputs &amp; Outputs'!$B$6</f>
        <v>8.1178754168760765</v>
      </c>
      <c r="B325">
        <f>B324+C325*'Inputs &amp; Outputs'!$B$6</f>
        <v>-7.5580186699427765</v>
      </c>
      <c r="C325">
        <f>C324+D324*'Inputs &amp; Outputs'!$B$6</f>
        <v>-1.6575700180059532</v>
      </c>
      <c r="D325">
        <f>(-'Inputs &amp; Outputs'!$B$4*B325)/'Inputs &amp; Outputs'!$B$5</f>
        <v>1.8895046674856943</v>
      </c>
      <c r="E325">
        <f>1/2*'Inputs &amp; Outputs'!$B$5*'Iterative Steps'!C325^2</f>
        <v>27.475383645922559</v>
      </c>
      <c r="F325">
        <f>1/2*'Inputs &amp; Outputs'!$B$4*'Iterative Steps'!B325^2</f>
        <v>142.80911553800894</v>
      </c>
      <c r="G325">
        <f t="shared" si="6"/>
        <v>170.2844991839315</v>
      </c>
    </row>
    <row r="326" spans="1:7" x14ac:dyDescent="0.2">
      <c r="A326">
        <f>A325+'Inputs &amp; Outputs'!$B$6</f>
        <v>8.1430081581047951</v>
      </c>
      <c r="B326">
        <f>B325+C326*'Inputs &amp; Outputs'!$B$6</f>
        <v>-7.5984844338045479</v>
      </c>
      <c r="C326">
        <f>C325+D325*'Inputs &amp; Outputs'!$B$6</f>
        <v>-1.6100815861475797</v>
      </c>
      <c r="D326">
        <f>(-'Inputs &amp; Outputs'!$B$4*B326)/'Inputs &amp; Outputs'!$B$5</f>
        <v>1.899621108451137</v>
      </c>
      <c r="E326">
        <f>1/2*'Inputs &amp; Outputs'!$B$5*'Iterative Steps'!C326^2</f>
        <v>25.923627140515059</v>
      </c>
      <c r="F326">
        <f>1/2*'Inputs &amp; Outputs'!$B$4*'Iterative Steps'!B326^2</f>
        <v>144.34241422692506</v>
      </c>
      <c r="G326">
        <f t="shared" si="6"/>
        <v>170.26604136744012</v>
      </c>
    </row>
    <row r="327" spans="1:7" x14ac:dyDescent="0.2">
      <c r="A327">
        <f>A326+'Inputs &amp; Outputs'!$B$6</f>
        <v>8.1681408993335136</v>
      </c>
      <c r="B327">
        <f>B326+C327*'Inputs &amp; Outputs'!$B$6</f>
        <v>-7.6377502930997672</v>
      </c>
      <c r="C327">
        <f>C326+D326*'Inputs &amp; Outputs'!$B$6</f>
        <v>-1.5623389003962662</v>
      </c>
      <c r="D327">
        <f>(-'Inputs &amp; Outputs'!$B$4*B327)/'Inputs &amp; Outputs'!$B$5</f>
        <v>1.909437573274942</v>
      </c>
      <c r="E327">
        <f>1/2*'Inputs &amp; Outputs'!$B$5*'Iterative Steps'!C327^2</f>
        <v>24.409028396914142</v>
      </c>
      <c r="F327">
        <f>1/2*'Inputs &amp; Outputs'!$B$4*'Iterative Steps'!B327^2</f>
        <v>145.83807384936395</v>
      </c>
      <c r="G327">
        <f t="shared" si="6"/>
        <v>170.2471022462781</v>
      </c>
    </row>
    <row r="328" spans="1:7" x14ac:dyDescent="0.2">
      <c r="A328">
        <f>A327+'Inputs &amp; Outputs'!$B$6</f>
        <v>8.1932736405622322</v>
      </c>
      <c r="B328">
        <f>B327+C328*'Inputs &amp; Outputs'!$B$6</f>
        <v>-7.6758100472124715</v>
      </c>
      <c r="C328">
        <f>C327+D327*'Inputs &amp; Outputs'!$B$6</f>
        <v>-1.5143494999747551</v>
      </c>
      <c r="D328">
        <f>(-'Inputs &amp; Outputs'!$B$4*B328)/'Inputs &amp; Outputs'!$B$5</f>
        <v>1.9189525118031177</v>
      </c>
      <c r="E328">
        <f>1/2*'Inputs &amp; Outputs'!$B$5*'Iterative Steps'!C328^2</f>
        <v>22.932544080737909</v>
      </c>
      <c r="F328">
        <f>1/2*'Inputs &amp; Outputs'!$B$4*'Iterative Steps'!B328^2</f>
        <v>147.29514970221982</v>
      </c>
      <c r="G328">
        <f t="shared" si="6"/>
        <v>170.22769378295772</v>
      </c>
    </row>
    <row r="329" spans="1:7" x14ac:dyDescent="0.2">
      <c r="A329">
        <f>A328+'Inputs &amp; Outputs'!$B$6</f>
        <v>8.2184063817909507</v>
      </c>
      <c r="B329">
        <f>B328+C329*'Inputs &amp; Outputs'!$B$6</f>
        <v>-7.7126576859871934</v>
      </c>
      <c r="C329">
        <f>C328+D328*'Inputs &amp; Outputs'!$B$6</f>
        <v>-1.4661209630654082</v>
      </c>
      <c r="D329">
        <f>(-'Inputs &amp; Outputs'!$B$4*B329)/'Inputs &amp; Outputs'!$B$5</f>
        <v>1.9281644214967983</v>
      </c>
      <c r="E329">
        <f>1/2*'Inputs &amp; Outputs'!$B$5*'Iterative Steps'!C329^2</f>
        <v>21.495106783398402</v>
      </c>
      <c r="F329">
        <f>1/2*'Inputs &amp; Outputs'!$B$4*'Iterative Steps'!B329^2</f>
        <v>148.71272145304332</v>
      </c>
      <c r="G329">
        <f t="shared" si="6"/>
        <v>170.20782823644171</v>
      </c>
    </row>
    <row r="330" spans="1:7" x14ac:dyDescent="0.2">
      <c r="A330">
        <f>A329+'Inputs &amp; Outputs'!$B$6</f>
        <v>8.2435391230196693</v>
      </c>
      <c r="B330">
        <f>B329+C330*'Inputs &amp; Outputs'!$B$6</f>
        <v>-7.7482873906780485</v>
      </c>
      <c r="C330">
        <f>C329+D329*'Inputs &amp; Outputs'!$B$6</f>
        <v>-1.4176609056135077</v>
      </c>
      <c r="D330">
        <f>(-'Inputs &amp; Outputs'!$B$4*B330)/'Inputs &amp; Outputs'!$B$5</f>
        <v>1.9370718476695121</v>
      </c>
      <c r="E330">
        <f>1/2*'Inputs &amp; Outputs'!$B$5*'Iterative Steps'!C330^2</f>
        <v>20.097624433049109</v>
      </c>
      <c r="F330">
        <f>1/2*'Inputs &amp; Outputs'!$B$4*'Iterative Steps'!B330^2</f>
        <v>150.0898937213511</v>
      </c>
      <c r="G330">
        <f t="shared" si="6"/>
        <v>170.18751815440021</v>
      </c>
    </row>
    <row r="331" spans="1:7" x14ac:dyDescent="0.2">
      <c r="A331">
        <f>A330+'Inputs &amp; Outputs'!$B$6</f>
        <v>8.2686718642483878</v>
      </c>
      <c r="B331">
        <f>B330+C331*'Inputs &amp; Outputs'!$B$6</f>
        <v>-7.7826935348675921</v>
      </c>
      <c r="C331">
        <f>C330+D330*'Inputs &amp; Outputs'!$B$6</f>
        <v>-1.3689769801245946</v>
      </c>
      <c r="D331">
        <f>(-'Inputs &amp; Outputs'!$B$4*B331)/'Inputs &amp; Outputs'!$B$5</f>
        <v>1.945673383716898</v>
      </c>
      <c r="E331">
        <f>1/2*'Inputs &amp; Outputs'!$B$5*'Iterative Steps'!C331^2</f>
        <v>18.740979721110548</v>
      </c>
      <c r="F331">
        <f>1/2*'Inputs &amp; Outputs'!$B$4*'Iterative Steps'!B331^2</f>
        <v>151.42579664417454</v>
      </c>
      <c r="G331">
        <f t="shared" si="6"/>
        <v>170.1667763652851</v>
      </c>
    </row>
    <row r="332" spans="1:7" x14ac:dyDescent="0.2">
      <c r="A332">
        <f>A331+'Inputs &amp; Outputs'!$B$6</f>
        <v>8.2938046054771064</v>
      </c>
      <c r="B332">
        <f>B331+C332*'Inputs &amp; Outputs'!$B$6</f>
        <v>-7.8158706853553106</v>
      </c>
      <c r="C332">
        <f>C331+D331*'Inputs &amp; Outputs'!$B$6</f>
        <v>-1.3200768744560329</v>
      </c>
      <c r="D332">
        <f>(-'Inputs &amp; Outputs'!$B$4*B332)/'Inputs &amp; Outputs'!$B$5</f>
        <v>1.9539676713388274</v>
      </c>
      <c r="E332">
        <f>1/2*'Inputs &amp; Outputs'!$B$5*'Iterative Steps'!C332^2</f>
        <v>17.426029544736089</v>
      </c>
      <c r="F332">
        <f>1/2*'Inputs &amp; Outputs'!$B$4*'Iterative Steps'!B332^2</f>
        <v>152.71958642549123</v>
      </c>
      <c r="G332">
        <f t="shared" si="6"/>
        <v>170.14561597022731</v>
      </c>
    </row>
    <row r="333" spans="1:7" x14ac:dyDescent="0.2">
      <c r="A333">
        <f>A332+'Inputs &amp; Outputs'!$B$6</f>
        <v>8.318937346705825</v>
      </c>
      <c r="B333">
        <f>B332+C333*'Inputs &amp; Outputs'!$B$6</f>
        <v>-7.8478136030155969</v>
      </c>
      <c r="C333">
        <f>C332+D332*'Inputs &amp; Outputs'!$B$6</f>
        <v>-1.2709683106029928</v>
      </c>
      <c r="D333">
        <f>(-'Inputs &amp; Outputs'!$B$4*B333)/'Inputs &amp; Outputs'!$B$5</f>
        <v>1.9619534007538992</v>
      </c>
      <c r="E333">
        <f>1/2*'Inputs &amp; Outputs'!$B$5*'Iterative Steps'!C333^2</f>
        <v>16.153604465570254</v>
      </c>
      <c r="F333">
        <f>1/2*'Inputs &amp; Outputs'!$B$4*'Iterative Steps'!B333^2</f>
        <v>153.97044586919162</v>
      </c>
      <c r="G333">
        <f t="shared" si="6"/>
        <v>170.12405033476188</v>
      </c>
    </row>
    <row r="334" spans="1:7" x14ac:dyDescent="0.2">
      <c r="A334">
        <f>A333+'Inputs &amp; Outputs'!$B$6</f>
        <v>8.3440700879345435</v>
      </c>
      <c r="B334">
        <f>B333+C334*'Inputs &amp; Outputs'!$B$6</f>
        <v>-7.8785172436250797</v>
      </c>
      <c r="C334">
        <f>C333+D333*'Inputs &amp; Outputs'!$B$6</f>
        <v>-1.2216590434790411</v>
      </c>
      <c r="D334">
        <f>(-'Inputs &amp; Outputs'!$B$4*B334)/'Inputs &amp; Outputs'!$B$5</f>
        <v>1.9696293109062701</v>
      </c>
      <c r="E334">
        <f>1/2*'Inputs &amp; Outputs'!$B$5*'Iterative Steps'!C334^2</f>
        <v>14.924508185141256</v>
      </c>
      <c r="F334">
        <f>1/2*'Inputs &amp; Outputs'!$B$4*'Iterative Steps'!B334^2</f>
        <v>155.17758489524431</v>
      </c>
      <c r="G334">
        <f t="shared" si="6"/>
        <v>170.10209308038557</v>
      </c>
    </row>
    <row r="335" spans="1:7" x14ac:dyDescent="0.2">
      <c r="A335">
        <f>A334+'Inputs &amp; Outputs'!$B$6</f>
        <v>8.3692028291632621</v>
      </c>
      <c r="B335">
        <f>B334+C335*'Inputs &amp; Outputs'!$B$6</f>
        <v>-7.9079767586591743</v>
      </c>
      <c r="C335">
        <f>C334+D334*'Inputs &amp; Outputs'!$B$6</f>
        <v>-1.172156859691535</v>
      </c>
      <c r="D335">
        <f>(-'Inputs &amp; Outputs'!$B$4*B335)/'Inputs &amp; Outputs'!$B$5</f>
        <v>1.9769941896647936</v>
      </c>
      <c r="E335">
        <f>1/2*'Inputs &amp; Outputs'!$B$5*'Iterative Steps'!C335^2</f>
        <v>13.739517037219208</v>
      </c>
      <c r="F335">
        <f>1/2*'Inputs &amp; Outputs'!$B$4*'Iterative Steps'!B335^2</f>
        <v>156.34024103873415</v>
      </c>
      <c r="G335">
        <f t="shared" si="6"/>
        <v>170.07975807595335</v>
      </c>
    </row>
    <row r="336" spans="1:7" x14ac:dyDescent="0.2">
      <c r="A336">
        <f>A335+'Inputs &amp; Outputs'!$B$6</f>
        <v>8.3943355703919806</v>
      </c>
      <c r="B336">
        <f>B335+C336*'Inputs &amp; Outputs'!$B$6</f>
        <v>-7.936187496057733</v>
      </c>
      <c r="C336">
        <f>C335+D335*'Inputs &amp; Outputs'!$B$6</f>
        <v>-1.1224695763120101</v>
      </c>
      <c r="D336">
        <f>(-'Inputs &amp; Outputs'!$B$4*B336)/'Inputs &amp; Outputs'!$B$5</f>
        <v>1.984046874014433</v>
      </c>
      <c r="E336">
        <f>1/2*'Inputs &amp; Outputs'!$B$5*'Iterative Steps'!C336^2</f>
        <v>12.599379497460635</v>
      </c>
      <c r="F336">
        <f>1/2*'Inputs &amp; Outputs'!$B$4*'Iterative Steps'!B336^2</f>
        <v>157.45767993145779</v>
      </c>
      <c r="G336">
        <f t="shared" si="6"/>
        <v>170.05705942891842</v>
      </c>
    </row>
    <row r="337" spans="1:7" x14ac:dyDescent="0.2">
      <c r="A337">
        <f>A336+'Inputs &amp; Outputs'!$B$6</f>
        <v>8.4194683116206992</v>
      </c>
      <c r="B337">
        <f>B336+C337*'Inputs &amp; Outputs'!$B$6</f>
        <v>-7.9631450009596687</v>
      </c>
      <c r="C337">
        <f>C336+D336*'Inputs &amp; Outputs'!$B$6</f>
        <v>-1.0726050396417577</v>
      </c>
      <c r="D337">
        <f>(-'Inputs &amp; Outputs'!$B$4*B337)/'Inputs &amp; Outputs'!$B$5</f>
        <v>1.9907862502399172</v>
      </c>
      <c r="E337">
        <f>1/2*'Inputs &amp; Outputs'!$B$5*'Iterative Steps'!C337^2</f>
        <v>11.504815710648966</v>
      </c>
      <c r="F337">
        <f>1/2*'Inputs &amp; Outputs'!$B$4*'Iterative Steps'!B337^2</f>
        <v>158.52919576577241</v>
      </c>
      <c r="G337">
        <f t="shared" si="6"/>
        <v>170.03401147642137</v>
      </c>
    </row>
    <row r="338" spans="1:7" x14ac:dyDescent="0.2">
      <c r="A338">
        <f>A337+'Inputs &amp; Outputs'!$B$6</f>
        <v>8.4446010528494178</v>
      </c>
      <c r="B338">
        <f>B337+C338*'Inputs &amp; Outputs'!$B$6</f>
        <v>-7.9888450164064366</v>
      </c>
      <c r="C338">
        <f>C337+D337*'Inputs &amp; Outputs'!$B$6</f>
        <v>-1.0225711239727873</v>
      </c>
      <c r="D338">
        <f>(-'Inputs &amp; Outputs'!$B$4*B338)/'Inputs &amp; Outputs'!$B$5</f>
        <v>1.9972112541016092</v>
      </c>
      <c r="E338">
        <f>1/2*'Inputs &amp; Outputs'!$B$5*'Iterative Steps'!C338^2</f>
        <v>10.456517035829695</v>
      </c>
      <c r="F338">
        <f>1/2*'Inputs &amp; Outputs'!$B$4*'Iterative Steps'!B338^2</f>
        <v>159.55411174040489</v>
      </c>
      <c r="G338">
        <f t="shared" si="6"/>
        <v>170.0106287762346</v>
      </c>
    </row>
    <row r="339" spans="1:7" x14ac:dyDescent="0.2">
      <c r="A339">
        <f>A338+'Inputs &amp; Outputs'!$B$6</f>
        <v>8.4697337940781363</v>
      </c>
      <c r="B339">
        <f>B338+C339*'Inputs &amp; Outputs'!$B$6</f>
        <v>-8.0132834840142682</v>
      </c>
      <c r="C339">
        <f>C338+D338*'Inputs &amp; Outputs'!$B$6</f>
        <v>-0.97237573034436753</v>
      </c>
      <c r="D339">
        <f>(-'Inputs &amp; Outputs'!$B$4*B339)/'Inputs &amp; Outputs'!$B$5</f>
        <v>2.003320871003567</v>
      </c>
      <c r="E339">
        <f>1/2*'Inputs &amp; Outputs'!$B$5*'Iterative Steps'!C339^2</f>
        <v>9.4551456096274205</v>
      </c>
      <c r="F339">
        <f>1/2*'Inputs &amp; Outputs'!$B$4*'Iterative Steps'!B339^2</f>
        <v>160.53178048793964</v>
      </c>
      <c r="G339">
        <f t="shared" si="6"/>
        <v>169.98692609756705</v>
      </c>
    </row>
    <row r="340" spans="1:7" x14ac:dyDescent="0.2">
      <c r="A340">
        <f>A339+'Inputs &amp; Outputs'!$B$6</f>
        <v>8.4948665353068549</v>
      </c>
      <c r="B340">
        <f>B339+C340*'Inputs &amp; Outputs'!$B$6</f>
        <v>-8.0364565446150422</v>
      </c>
      <c r="C340">
        <f>C339+D339*'Inputs &amp; Outputs'!$B$6</f>
        <v>-0.92202678529534421</v>
      </c>
      <c r="D340">
        <f>(-'Inputs &amp; Outputs'!$B$4*B340)/'Inputs &amp; Outputs'!$B$5</f>
        <v>2.0091141361537606</v>
      </c>
      <c r="E340">
        <f>1/2*'Inputs &amp; Outputs'!$B$5*'Iterative Steps'!C340^2</f>
        <v>8.5013339280206672</v>
      </c>
      <c r="F340">
        <f>1/2*'Inputs &amp; Outputs'!$B$4*'Iterative Steps'!B340^2</f>
        <v>161.46158448371489</v>
      </c>
      <c r="G340">
        <f t="shared" si="6"/>
        <v>169.96291841173556</v>
      </c>
    </row>
    <row r="341" spans="1:7" x14ac:dyDescent="0.2">
      <c r="A341">
        <f>A340+'Inputs &amp; Outputs'!$B$6</f>
        <v>8.5199992765355734</v>
      </c>
      <c r="B341">
        <f>B340+C341*'Inputs &amp; Outputs'!$B$6</f>
        <v>-8.0583605388657062</v>
      </c>
      <c r="C341">
        <f>C340+D340*'Inputs &amp; Outputs'!$B$6</f>
        <v>-0.87153223961243176</v>
      </c>
      <c r="D341">
        <f>(-'Inputs &amp; Outputs'!$B$4*B341)/'Inputs &amp; Outputs'!$B$5</f>
        <v>2.0145901347164266</v>
      </c>
      <c r="E341">
        <f>1/2*'Inputs &amp; Outputs'!$B$5*'Iterative Steps'!C341^2</f>
        <v>7.5956844468386118</v>
      </c>
      <c r="F341">
        <f>1/2*'Inputs &amp; Outputs'!$B$4*'Iterative Steps'!B341^2</f>
        <v>162.34293643586997</v>
      </c>
      <c r="G341">
        <f t="shared" si="6"/>
        <v>169.93862088270859</v>
      </c>
    </row>
    <row r="342" spans="1:7" x14ac:dyDescent="0.2">
      <c r="A342">
        <f>A341+'Inputs &amp; Outputs'!$B$6</f>
        <v>8.545132017764292</v>
      </c>
      <c r="B342">
        <f>B341+C342*'Inputs &amp; Outputs'!$B$6</f>
        <v>-8.0789920078261321</v>
      </c>
      <c r="C342">
        <f>C341+D341*'Inputs &amp; Outputs'!$B$6</f>
        <v>-0.820900067074675</v>
      </c>
      <c r="D342">
        <f>(-'Inputs &amp; Outputs'!$B$4*B342)/'Inputs &amp; Outputs'!$B$5</f>
        <v>2.019748001956533</v>
      </c>
      <c r="E342">
        <f>1/2*'Inputs &amp; Outputs'!$B$5*'Iterative Steps'!C342^2</f>
        <v>6.738769201232059</v>
      </c>
      <c r="F342">
        <f>1/2*'Inputs &amp; Outputs'!$B$4*'Iterative Steps'!B342^2</f>
        <v>163.17527965629631</v>
      </c>
      <c r="G342">
        <f t="shared" si="6"/>
        <v>169.91404885752837</v>
      </c>
    </row>
    <row r="343" spans="1:7" x14ac:dyDescent="0.2">
      <c r="A343">
        <f>A342+'Inputs &amp; Outputs'!$B$6</f>
        <v>8.5702647589930105</v>
      </c>
      <c r="B343">
        <f>B342+C343*'Inputs &amp; Outputs'!$B$6</f>
        <v>-8.0983476935053282</v>
      </c>
      <c r="C343">
        <f>C342+D342*'Inputs &amp; Outputs'!$B$6</f>
        <v>-0.77013826319428058</v>
      </c>
      <c r="D343">
        <f>(-'Inputs &amp; Outputs'!$B$4*B343)/'Inputs &amp; Outputs'!$B$5</f>
        <v>2.0245869233763321</v>
      </c>
      <c r="E343">
        <f>1/2*'Inputs &amp; Outputs'!$B$5*'Iterative Steps'!C343^2</f>
        <v>5.9311294443590299</v>
      </c>
      <c r="F343">
        <f>1/2*'Inputs &amp; Outputs'!$B$4*'Iterative Steps'!B343^2</f>
        <v>163.95808841225769</v>
      </c>
      <c r="G343">
        <f t="shared" si="6"/>
        <v>169.88921785661671</v>
      </c>
    </row>
    <row r="344" spans="1:7" x14ac:dyDescent="0.2">
      <c r="A344">
        <f>A343+'Inputs &amp; Outputs'!$B$6</f>
        <v>8.5953975002217291</v>
      </c>
      <c r="B344">
        <f>B343+C344*'Inputs &amp; Outputs'!$B$6</f>
        <v>-8.1164245393759273</v>
      </c>
      <c r="C344">
        <f>C343+D343*'Inputs &amp; Outputs'!$B$6</f>
        <v>-0.71925484395401618</v>
      </c>
      <c r="D344">
        <f>(-'Inputs &amp; Outputs'!$B$4*B344)/'Inputs &amp; Outputs'!$B$5</f>
        <v>2.0291061348439818</v>
      </c>
      <c r="E344">
        <f>1/2*'Inputs &amp; Outputs'!$B$5*'Iterative Steps'!C344^2</f>
        <v>5.1732753055131617</v>
      </c>
      <c r="F344">
        <f>1/2*'Inputs &amp; Outputs'!$B$4*'Iterative Steps'!B344^2</f>
        <v>164.69086825845935</v>
      </c>
      <c r="G344">
        <f t="shared" si="6"/>
        <v>169.8641435639725</v>
      </c>
    </row>
    <row r="345" spans="1:7" x14ac:dyDescent="0.2">
      <c r="A345">
        <f>A344+'Inputs &amp; Outputs'!$B$6</f>
        <v>8.6205302414504477</v>
      </c>
      <c r="B345">
        <f>B344+C345*'Inputs &amp; Outputs'!$B$6</f>
        <v>-8.1332196908568477</v>
      </c>
      <c r="C345">
        <f>C344+D344*'Inputs &amp; Outputs'!$B$6</f>
        <v>-0.66825784454137749</v>
      </c>
      <c r="D345">
        <f>(-'Inputs &amp; Outputs'!$B$4*B345)/'Inputs &amp; Outputs'!$B$5</f>
        <v>2.0333049227142119</v>
      </c>
      <c r="E345">
        <f>1/2*'Inputs &amp; Outputs'!$B$5*'Iterative Steps'!C345^2</f>
        <v>4.4656854679108786</v>
      </c>
      <c r="F345">
        <f>1/2*'Inputs &amp; Outputs'!$B$4*'Iterative Steps'!B345^2</f>
        <v>165.37315634935391</v>
      </c>
      <c r="G345">
        <f t="shared" si="6"/>
        <v>169.83884181726478</v>
      </c>
    </row>
    <row r="346" spans="1:7" x14ac:dyDescent="0.2">
      <c r="A346">
        <f>A345+'Inputs &amp; Outputs'!$B$6</f>
        <v>8.6456629826791662</v>
      </c>
      <c r="B346">
        <f>B345+C346*'Inputs &amp; Outputs'!$B$6</f>
        <v>-8.148730495764072</v>
      </c>
      <c r="C346">
        <f>C345+D345*'Inputs &amp; Outputs'!$B$6</f>
        <v>-0.61715531807972202</v>
      </c>
      <c r="D346">
        <f>(-'Inputs &amp; Outputs'!$B$4*B346)/'Inputs &amp; Outputs'!$B$5</f>
        <v>2.037182623941018</v>
      </c>
      <c r="E346">
        <f>1/2*'Inputs &amp; Outputs'!$B$5*'Iterative Steps'!C346^2</f>
        <v>3.8088068663408285</v>
      </c>
      <c r="F346">
        <f>1/2*'Inputs &amp; Outputs'!$B$4*'Iterative Steps'!B346^2</f>
        <v>166.00452173148847</v>
      </c>
      <c r="G346">
        <f t="shared" si="6"/>
        <v>169.8133285978293</v>
      </c>
    </row>
    <row r="347" spans="1:7" x14ac:dyDescent="0.2">
      <c r="A347">
        <f>A346+'Inputs &amp; Outputs'!$B$6</f>
        <v>8.6707957239078848</v>
      </c>
      <c r="B347">
        <f>B346+C347*'Inputs &amp; Outputs'!$B$6</f>
        <v>-8.162954504729468</v>
      </c>
      <c r="C347">
        <f>C346+D346*'Inputs &amp; Outputs'!$B$6</f>
        <v>-0.56595533435657097</v>
      </c>
      <c r="D347">
        <f>(-'Inputs &amp; Outputs'!$B$4*B347)/'Inputs &amp; Outputs'!$B$5</f>
        <v>2.040738626182367</v>
      </c>
      <c r="E347">
        <f>1/2*'Inputs &amp; Outputs'!$B$5*'Iterative Steps'!C347^2</f>
        <v>3.2030544048665806</v>
      </c>
      <c r="F347">
        <f>1/2*'Inputs &amp; Outputs'!$B$4*'Iterative Steps'!B347^2</f>
        <v>166.58456561570779</v>
      </c>
      <c r="G347">
        <f t="shared" si="6"/>
        <v>169.78762002057437</v>
      </c>
    </row>
    <row r="348" spans="1:7" x14ac:dyDescent="0.2">
      <c r="A348">
        <f>A347+'Inputs &amp; Outputs'!$B$6</f>
        <v>8.6959284651366033</v>
      </c>
      <c r="B348">
        <f>B347+C348*'Inputs &amp; Outputs'!$B$6</f>
        <v>-8.1758894715875723</v>
      </c>
      <c r="C348">
        <f>C347+D347*'Inputs &amp; Outputs'!$B$6</f>
        <v>-0.51466597854927931</v>
      </c>
      <c r="D348">
        <f>(-'Inputs &amp; Outputs'!$B$4*B348)/'Inputs &amp; Outputs'!$B$5</f>
        <v>2.0439723678968931</v>
      </c>
      <c r="E348">
        <f>1/2*'Inputs &amp; Outputs'!$B$5*'Iterative Steps'!C348^2</f>
        <v>2.6488106947608725</v>
      </c>
      <c r="F348">
        <f>1/2*'Inputs &amp; Outputs'!$B$4*'Iterative Steps'!B348^2</f>
        <v>167.1129216290413</v>
      </c>
      <c r="G348">
        <f t="shared" si="6"/>
        <v>169.76173232380216</v>
      </c>
    </row>
    <row r="349" spans="1:7" x14ac:dyDescent="0.2">
      <c r="A349">
        <f>A348+'Inputs &amp; Outputs'!$B$6</f>
        <v>8.7210612063653219</v>
      </c>
      <c r="B349">
        <f>B348+C349*'Inputs &amp; Outputs'!$B$6</f>
        <v>-8.1875333537302915</v>
      </c>
      <c r="C349">
        <f>C348+D348*'Inputs &amp; Outputs'!$B$6</f>
        <v>-0.46329534994827598</v>
      </c>
      <c r="D349">
        <f>(-'Inputs &amp; Outputs'!$B$4*B349)/'Inputs &amp; Outputs'!$B$5</f>
        <v>2.0468833384325729</v>
      </c>
      <c r="E349">
        <f>1/2*'Inputs &amp; Outputs'!$B$5*'Iterative Steps'!C349^2</f>
        <v>2.1464258128369549</v>
      </c>
      <c r="F349">
        <f>1/2*'Inputs &amp; Outputs'!$B$4*'Iterative Steps'!B349^2</f>
        <v>167.589256046115</v>
      </c>
      <c r="G349">
        <f t="shared" si="6"/>
        <v>169.73568185895195</v>
      </c>
    </row>
    <row r="350" spans="1:7" x14ac:dyDescent="0.2">
      <c r="A350">
        <f>A349+'Inputs &amp; Outputs'!$B$6</f>
        <v>8.7461939475940405</v>
      </c>
      <c r="B350">
        <f>B349+C350*'Inputs &amp; Outputs'!$B$6</f>
        <v>-8.1978843124294567</v>
      </c>
      <c r="C350">
        <f>C349+D349*'Inputs &amp; Outputs'!$B$6</f>
        <v>-0.41185156067807499</v>
      </c>
      <c r="D350">
        <f>(-'Inputs &amp; Outputs'!$B$4*B350)/'Inputs &amp; Outputs'!$B$5</f>
        <v>2.0494710781073642</v>
      </c>
      <c r="E350">
        <f>1/2*'Inputs &amp; Outputs'!$B$5*'Iterative Steps'!C350^2</f>
        <v>1.6962170803296608</v>
      </c>
      <c r="F350">
        <f>1/2*'Inputs &amp; Outputs'!$B$4*'Iterative Steps'!B350^2</f>
        <v>168.01326799994246</v>
      </c>
      <c r="G350">
        <f t="shared" si="6"/>
        <v>169.70948508027212</v>
      </c>
    </row>
    <row r="351" spans="1:7" x14ac:dyDescent="0.2">
      <c r="A351">
        <f>A350+'Inputs &amp; Outputs'!$B$6</f>
        <v>8.771326688822759</v>
      </c>
      <c r="B351">
        <f>B350+C351*'Inputs &amp; Outputs'!$B$6</f>
        <v>-8.2069407131271888</v>
      </c>
      <c r="C351">
        <f>C350+D350*'Inputs &amp; Outputs'!$B$6</f>
        <v>-0.36034273441626019</v>
      </c>
      <c r="D351">
        <f>(-'Inputs &amp; Outputs'!$B$4*B351)/'Inputs &amp; Outputs'!$B$5</f>
        <v>2.0517351782817972</v>
      </c>
      <c r="E351">
        <f>1/2*'Inputs &amp; Outputs'!$B$5*'Iterative Steps'!C351^2</f>
        <v>1.2984688624658745</v>
      </c>
      <c r="F351">
        <f>1/2*'Inputs &amp; Outputs'!$B$4*'Iterative Steps'!B351^2</f>
        <v>168.38468967196152</v>
      </c>
      <c r="G351">
        <f t="shared" si="6"/>
        <v>169.68315853442741</v>
      </c>
    </row>
    <row r="352" spans="1:7" x14ac:dyDescent="0.2">
      <c r="A352">
        <f>A351+'Inputs &amp; Outputs'!$B$6</f>
        <v>8.7964594300514776</v>
      </c>
      <c r="B352">
        <f>B351+C352*'Inputs &amp; Outputs'!$B$6</f>
        <v>-8.2147011256940132</v>
      </c>
      <c r="C352">
        <f>C351+D351*'Inputs &amp; Outputs'!$B$6</f>
        <v>-0.30877700511064549</v>
      </c>
      <c r="D352">
        <f>(-'Inputs &amp; Outputs'!$B$4*B352)/'Inputs &amp; Outputs'!$B$5</f>
        <v>2.0536752814235033</v>
      </c>
      <c r="E352">
        <f>1/2*'Inputs &amp; Outputs'!$B$5*'Iterative Steps'!C352^2</f>
        <v>0.9534323888509959</v>
      </c>
      <c r="F352">
        <f>1/2*'Inputs &amp; Outputs'!$B$4*'Iterative Steps'!B352^2</f>
        <v>168.7032864611962</v>
      </c>
      <c r="G352">
        <f t="shared" si="6"/>
        <v>169.65671885004718</v>
      </c>
    </row>
    <row r="353" spans="1:7" x14ac:dyDescent="0.2">
      <c r="A353">
        <f>A352+'Inputs &amp; Outputs'!$B$6</f>
        <v>8.8215921712801961</v>
      </c>
      <c r="B353">
        <f>B352+C353*'Inputs &amp; Outputs'!$B$6</f>
        <v>-8.2211643246546977</v>
      </c>
      <c r="C353">
        <f>C352+D352*'Inputs &amp; Outputs'!$B$6</f>
        <v>-0.25716251569481324</v>
      </c>
      <c r="D353">
        <f>(-'Inputs &amp; Outputs'!$B$4*B353)/'Inputs &amp; Outputs'!$B$5</f>
        <v>2.0552910811636744</v>
      </c>
      <c r="E353">
        <f>1/2*'Inputs &amp; Outputs'!$B$5*'Iterative Steps'!C353^2</f>
        <v>0.66132559478485065</v>
      </c>
      <c r="F353">
        <f>1/2*'Inputs &amp; Outputs'!$B$4*'Iterative Steps'!B353^2</f>
        <v>168.96885713243785</v>
      </c>
      <c r="G353">
        <f t="shared" si="6"/>
        <v>169.63018272722269</v>
      </c>
    </row>
    <row r="354" spans="1:7" x14ac:dyDescent="0.2">
      <c r="A354">
        <f>A353+'Inputs &amp; Outputs'!$B$6</f>
        <v>8.8467249125089147</v>
      </c>
      <c r="B354">
        <f>B353+C354*'Inputs &amp; Outputs'!$B$6</f>
        <v>-8.2263292893817699</v>
      </c>
      <c r="C354">
        <f>C353+D353*'Inputs &amp; Outputs'!$B$6</f>
        <v>-0.20550741680223386</v>
      </c>
      <c r="D354">
        <f>(-'Inputs &amp; Outputs'!$B$4*B354)/'Inputs &amp; Outputs'!$B$5</f>
        <v>2.0565823223454425</v>
      </c>
      <c r="E354">
        <f>1/2*'Inputs &amp; Outputs'!$B$5*'Iterative Steps'!C354^2</f>
        <v>0.42233298360727078</v>
      </c>
      <c r="F354">
        <f>1/2*'Inputs &amp; Outputs'!$B$4*'Iterative Steps'!B354^2</f>
        <v>169.18123394335095</v>
      </c>
      <c r="G354">
        <f t="shared" si="6"/>
        <v>169.60356692695822</v>
      </c>
    </row>
    <row r="355" spans="1:7" x14ac:dyDescent="0.2">
      <c r="A355">
        <f>A354+'Inputs &amp; Outputs'!$B$6</f>
        <v>8.8718576537376332</v>
      </c>
      <c r="B355">
        <f>B354+C355*'Inputs &amp; Outputs'!$B$6</f>
        <v>-8.2301952042566935</v>
      </c>
      <c r="C355">
        <f>C354+D354*'Inputs &amp; Outputs'!$B$6</f>
        <v>-0.15381986547916923</v>
      </c>
      <c r="D355">
        <f>(-'Inputs &amp; Outputs'!$B$4*B355)/'Inputs &amp; Outputs'!$B$5</f>
        <v>2.0575488010641734</v>
      </c>
      <c r="E355">
        <f>1/2*'Inputs &amp; Outputs'!$B$5*'Iterative Steps'!C355^2</f>
        <v>0.23660551016029718</v>
      </c>
      <c r="F355">
        <f>1/2*'Inputs &amp; Outputs'!$B$4*'Iterative Steps'!B355^2</f>
        <v>169.34028275042468</v>
      </c>
      <c r="G355">
        <f t="shared" si="6"/>
        <v>169.57688826058498</v>
      </c>
    </row>
    <row r="356" spans="1:7" x14ac:dyDescent="0.2">
      <c r="A356">
        <f>A355+'Inputs &amp; Outputs'!$B$6</f>
        <v>8.8969903949663518</v>
      </c>
      <c r="B356">
        <f>B355+C356*'Inputs &amp; Outputs'!$B$6</f>
        <v>-8.2327614587986613</v>
      </c>
      <c r="C356">
        <f>C355+D355*'Inputs &amp; Outputs'!$B$6</f>
        <v>-0.10210802389656368</v>
      </c>
      <c r="D356">
        <f>(-'Inputs &amp; Outputs'!$B$4*B356)/'Inputs &amp; Outputs'!$B$5</f>
        <v>2.0581903646996653</v>
      </c>
      <c r="E356">
        <f>1/2*'Inputs &amp; Outputs'!$B$5*'Iterative Steps'!C356^2</f>
        <v>0.10426048544061219</v>
      </c>
      <c r="F356">
        <f>1/2*'Inputs &amp; Outputs'!$B$4*'Iterative Steps'!B356^2</f>
        <v>169.44590309370167</v>
      </c>
      <c r="G356">
        <f t="shared" si="6"/>
        <v>169.55016357914229</v>
      </c>
    </row>
    <row r="357" spans="1:7" x14ac:dyDescent="0.2">
      <c r="A357">
        <f>A356+'Inputs &amp; Outputs'!$B$6</f>
        <v>8.9221231361950704</v>
      </c>
      <c r="B357">
        <f>B356+C357*'Inputs &amp; Outputs'!$B$6</f>
        <v>-8.2340276477609997</v>
      </c>
      <c r="C357">
        <f>C356+D356*'Inputs &amp; Outputs'!$B$6</f>
        <v>-5.0380058061125547E-2</v>
      </c>
      <c r="D357">
        <f>(-'Inputs &amp; Outputs'!$B$4*B357)/'Inputs &amp; Outputs'!$B$5</f>
        <v>2.0585069119402499</v>
      </c>
      <c r="E357">
        <f>1/2*'Inputs &amp; Outputs'!$B$5*'Iterative Steps'!C357^2</f>
        <v>2.5381502502423815E-2</v>
      </c>
      <c r="F357">
        <f>1/2*'Inputs &amp; Outputs'!$B$4*'Iterative Steps'!B357^2</f>
        <v>169.49802826023134</v>
      </c>
      <c r="G357">
        <f t="shared" si="6"/>
        <v>169.52340976273376</v>
      </c>
    </row>
    <row r="358" spans="1:7" x14ac:dyDescent="0.2">
      <c r="A358">
        <f>A357+'Inputs &amp; Outputs'!$B$6</f>
        <v>8.9472558774237889</v>
      </c>
      <c r="B358">
        <f>B357+C358*'Inputs &amp; Outputs'!$B$6</f>
        <v>-8.2339935711951604</v>
      </c>
      <c r="C358">
        <f>C357+D357*'Inputs &amp; Outputs'!$B$6</f>
        <v>1.3558634741968612E-3</v>
      </c>
      <c r="D358">
        <f>(-'Inputs &amp; Outputs'!$B$4*B358)/'Inputs &amp; Outputs'!$B$5</f>
        <v>2.0584983927987901</v>
      </c>
      <c r="E358">
        <f>1/2*'Inputs &amp; Outputs'!$B$5*'Iterative Steps'!C358^2</f>
        <v>1.8383657606611824E-5</v>
      </c>
      <c r="F358">
        <f>1/2*'Inputs &amp; Outputs'!$B$4*'Iterative Steps'!B358^2</f>
        <v>169.49662532620806</v>
      </c>
      <c r="G358">
        <f t="shared" si="6"/>
        <v>169.49664370986568</v>
      </c>
    </row>
    <row r="359" spans="1:7" x14ac:dyDescent="0.2">
      <c r="A359">
        <f>A358+'Inputs &amp; Outputs'!$B$6</f>
        <v>8.9723886186525075</v>
      </c>
      <c r="B359">
        <f>B358+C359*'Inputs &amp; Outputs'!$B$6</f>
        <v>-8.2326592344823002</v>
      </c>
      <c r="C359">
        <f>C358+D358*'Inputs &amp; Outputs'!$B$6</f>
        <v>5.3091570900141466E-2</v>
      </c>
      <c r="D359">
        <f>(-'Inputs &amp; Outputs'!$B$4*B359)/'Inputs &amp; Outputs'!$B$5</f>
        <v>2.058164808620575</v>
      </c>
      <c r="E359">
        <f>1/2*'Inputs &amp; Outputs'!$B$5*'Iterative Steps'!C359^2</f>
        <v>2.818714900644748E-2</v>
      </c>
      <c r="F359">
        <f>1/2*'Inputs &amp; Outputs'!$B$4*'Iterative Steps'!B359^2</f>
        <v>169.44169517776672</v>
      </c>
      <c r="G359">
        <f t="shared" si="6"/>
        <v>169.46988232677316</v>
      </c>
    </row>
    <row r="360" spans="1:7" x14ac:dyDescent="0.2">
      <c r="A360">
        <f>A359+'Inputs &amp; Outputs'!$B$6</f>
        <v>8.997521359881226</v>
      </c>
      <c r="B360">
        <f>B359+C360*'Inputs &amp; Outputs'!$B$6</f>
        <v>-8.2300248483324285</v>
      </c>
      <c r="C360">
        <f>C359+D359*'Inputs &amp; Outputs'!$B$6</f>
        <v>0.104818894441257</v>
      </c>
      <c r="D360">
        <f>(-'Inputs &amp; Outputs'!$B$4*B360)/'Inputs &amp; Outputs'!$B$5</f>
        <v>2.0575062120831071</v>
      </c>
      <c r="E360">
        <f>1/2*'Inputs &amp; Outputs'!$B$5*'Iterative Steps'!C360^2</f>
        <v>0.10987000631887378</v>
      </c>
      <c r="F360">
        <f>1/2*'Inputs &amp; Outputs'!$B$4*'Iterative Steps'!B360^2</f>
        <v>169.33327251042303</v>
      </c>
      <c r="G360">
        <f t="shared" si="6"/>
        <v>169.44314251674191</v>
      </c>
    </row>
    <row r="361" spans="1:7" x14ac:dyDescent="0.2">
      <c r="A361">
        <f>A360+'Inputs &amp; Outputs'!$B$6</f>
        <v>9.0226541011099446</v>
      </c>
      <c r="B361">
        <f>B360+C361*'Inputs &amp; Outputs'!$B$6</f>
        <v>-8.2260908287511292</v>
      </c>
      <c r="C361">
        <f>C360+D360*'Inputs &amp; Outputs'!$B$6</f>
        <v>0.15652966564602222</v>
      </c>
      <c r="D361">
        <f>(-'Inputs &amp; Outputs'!$B$4*B361)/'Inputs &amp; Outputs'!$B$5</f>
        <v>2.0565227071877823</v>
      </c>
      <c r="E361">
        <f>1/2*'Inputs &amp; Outputs'!$B$5*'Iterative Steps'!C361^2</f>
        <v>0.2450153622725551</v>
      </c>
      <c r="F361">
        <f>1/2*'Inputs &amp; Outputs'!$B$4*'Iterative Steps'!B361^2</f>
        <v>169.17142580715861</v>
      </c>
      <c r="G361">
        <f t="shared" si="6"/>
        <v>169.41644116943118</v>
      </c>
    </row>
    <row r="362" spans="1:7" x14ac:dyDescent="0.2">
      <c r="A362">
        <f>A361+'Inputs &amp; Outputs'!$B$6</f>
        <v>9.0477868423386631</v>
      </c>
      <c r="B362">
        <f>B361+C362*'Inputs &amp; Outputs'!$B$6</f>
        <v>-8.2208577969738741</v>
      </c>
      <c r="C362">
        <f>C361+D361*'Inputs &amp; Outputs'!$B$6</f>
        <v>0.20821571867675606</v>
      </c>
      <c r="D362">
        <f>(-'Inputs &amp; Outputs'!$B$4*B362)/'Inputs &amp; Outputs'!$B$5</f>
        <v>2.0552144492434685</v>
      </c>
      <c r="E362">
        <f>1/2*'Inputs &amp; Outputs'!$B$5*'Iterative Steps'!C362^2</f>
        <v>0.43353785504078024</v>
      </c>
      <c r="F362">
        <f>1/2*'Inputs &amp; Outputs'!$B$4*'Iterative Steps'!B362^2</f>
        <v>168.95625729516536</v>
      </c>
      <c r="G362">
        <f t="shared" si="6"/>
        <v>169.38979515020614</v>
      </c>
    </row>
    <row r="363" spans="1:7" x14ac:dyDescent="0.2">
      <c r="A363">
        <f>A362+'Inputs &amp; Outputs'!$B$6</f>
        <v>9.0729195835673817</v>
      </c>
      <c r="B363">
        <f>B362+C363*'Inputs &amp; Outputs'!$B$6</f>
        <v>-8.2143265793679205</v>
      </c>
      <c r="C363">
        <f>C362+D362*'Inputs &amp; Outputs'!$B$6</f>
        <v>0.25986889159911508</v>
      </c>
      <c r="D363">
        <f>(-'Inputs &amp; Outputs'!$B$4*B363)/'Inputs &amp; Outputs'!$B$5</f>
        <v>2.0535816448419801</v>
      </c>
      <c r="E363">
        <f>1/2*'Inputs &amp; Outputs'!$B$5*'Iterative Steps'!C363^2</f>
        <v>0.67531840820952627</v>
      </c>
      <c r="F363">
        <f>1/2*'Inputs &amp; Outputs'!$B$4*'Iterative Steps'!B363^2</f>
        <v>168.6879028812757</v>
      </c>
      <c r="G363">
        <f t="shared" si="6"/>
        <v>169.36322128948524</v>
      </c>
    </row>
    <row r="364" spans="1:7" x14ac:dyDescent="0.2">
      <c r="A364">
        <f>A363+'Inputs &amp; Outputs'!$B$6</f>
        <v>9.0980523247961003</v>
      </c>
      <c r="B364">
        <f>B363+C364*'Inputs &amp; Outputs'!$B$6</f>
        <v>-8.2064982073018111</v>
      </c>
      <c r="C364">
        <f>C363+D363*'Inputs &amp; Outputs'!$B$6</f>
        <v>0.31148102767097435</v>
      </c>
      <c r="D364">
        <f>(-'Inputs &amp; Outputs'!$B$4*B364)/'Inputs &amp; Outputs'!$B$5</f>
        <v>2.0516245518254528</v>
      </c>
      <c r="E364">
        <f>1/2*'Inputs &amp; Outputs'!$B$5*'Iterative Steps'!C364^2</f>
        <v>0.97020430598966279</v>
      </c>
      <c r="F364">
        <f>1/2*'Inputs &amp; Outputs'!$B$4*'Iterative Steps'!B364^2</f>
        <v>168.36653206611959</v>
      </c>
      <c r="G364">
        <f t="shared" si="6"/>
        <v>169.33673637210924</v>
      </c>
    </row>
    <row r="365" spans="1:7" x14ac:dyDescent="0.2">
      <c r="A365">
        <f>A364+'Inputs &amp; Outputs'!$B$6</f>
        <v>9.1231850660248188</v>
      </c>
      <c r="B365">
        <f>B364+C365*'Inputs &amp; Outputs'!$B$6</f>
        <v>-8.1973739169825119</v>
      </c>
      <c r="C365">
        <f>C364+D364*'Inputs &amp; Outputs'!$B$6</f>
        <v>0.36304397663048871</v>
      </c>
      <c r="D365">
        <f>(-'Inputs &amp; Outputs'!$B$4*B365)/'Inputs &amp; Outputs'!$B$5</f>
        <v>2.049343479245628</v>
      </c>
      <c r="E365">
        <f>1/2*'Inputs &amp; Outputs'!$B$5*'Iterative Steps'!C365^2</f>
        <v>1.3180092896767883</v>
      </c>
      <c r="F365">
        <f>1/2*'Inputs &amp; Outputs'!$B$4*'Iterative Steps'!B365^2</f>
        <v>167.99234783706305</v>
      </c>
      <c r="G365">
        <f t="shared" si="6"/>
        <v>169.31035712673983</v>
      </c>
    </row>
    <row r="366" spans="1:7" x14ac:dyDescent="0.2">
      <c r="A366">
        <f>A365+'Inputs &amp; Outputs'!$B$6</f>
        <v>9.1483178072535374</v>
      </c>
      <c r="B366">
        <f>B365+C366*'Inputs &amp; Outputs'!$B$6</f>
        <v>-8.1869551492601982</v>
      </c>
      <c r="C366">
        <f>C365+D365*'Inputs &amp; Outputs'!$B$6</f>
        <v>0.4145495959831304</v>
      </c>
      <c r="D366">
        <f>(-'Inputs &amp; Outputs'!$B$4*B366)/'Inputs &amp; Outputs'!$B$5</f>
        <v>2.0467387873150495</v>
      </c>
      <c r="E366">
        <f>1/2*'Inputs &amp; Outputs'!$B$5*'Iterative Steps'!C366^2</f>
        <v>1.7185136752977663</v>
      </c>
      <c r="F366">
        <f>1/2*'Inputs &amp; Outputs'!$B$4*'Iterative Steps'!B366^2</f>
        <v>167.56558653999519</v>
      </c>
      <c r="G366">
        <f t="shared" si="6"/>
        <v>169.28410021529297</v>
      </c>
    </row>
    <row r="367" spans="1:7" x14ac:dyDescent="0.2">
      <c r="A367">
        <f>A366+'Inputs &amp; Outputs'!$B$6</f>
        <v>9.1734505484822559</v>
      </c>
      <c r="B367">
        <f>B366+C367*'Inputs &amp; Outputs'!$B$6</f>
        <v>-8.1752435494007223</v>
      </c>
      <c r="C367">
        <f>C366+D366*'Inputs &amp; Outputs'!$B$6</f>
        <v>0.46598975228750034</v>
      </c>
      <c r="D367">
        <f>(-'Inputs &amp; Outputs'!$B$4*B367)/'Inputs &amp; Outputs'!$B$5</f>
        <v>2.0438108873501806</v>
      </c>
      <c r="E367">
        <f>1/2*'Inputs &amp; Outputs'!$B$5*'Iterative Steps'!C367^2</f>
        <v>2.1714644923696595</v>
      </c>
      <c r="F367">
        <f>1/2*'Inputs &amp; Outputs'!$B$4*'Iterative Steps'!B367^2</f>
        <v>167.0865177300453</v>
      </c>
      <c r="G367">
        <f t="shared" si="6"/>
        <v>169.25798222241497</v>
      </c>
    </row>
    <row r="368" spans="1:7" x14ac:dyDescent="0.2">
      <c r="A368">
        <f>A367+'Inputs &amp; Outputs'!$B$6</f>
        <v>9.1985832897109745</v>
      </c>
      <c r="B368">
        <f>B367+C368*'Inputs &amp; Outputs'!$B$6</f>
        <v>-8.162240966825804</v>
      </c>
      <c r="C368">
        <f>C367+D367*'Inputs &amp; Outputs'!$B$6</f>
        <v>0.51735632243970964</v>
      </c>
      <c r="D368">
        <f>(-'Inputs &amp; Outputs'!$B$4*B368)/'Inputs &amp; Outputs'!$B$5</f>
        <v>2.040560241706451</v>
      </c>
      <c r="E368">
        <f>1/2*'Inputs &amp; Outputs'!$B$5*'Iterative Steps'!C368^2</f>
        <v>2.6765756436834081</v>
      </c>
      <c r="F368">
        <f>1/2*'Inputs &amp; Outputs'!$B$4*'Iterative Steps'!B368^2</f>
        <v>166.55544400132359</v>
      </c>
      <c r="G368">
        <f t="shared" si="6"/>
        <v>169.232019645007</v>
      </c>
    </row>
    <row r="369" spans="1:7" x14ac:dyDescent="0.2">
      <c r="A369">
        <f>A368+'Inputs &amp; Outputs'!$B$6</f>
        <v>9.2237160309396931</v>
      </c>
      <c r="B369">
        <f>B368+C369*'Inputs &amp; Outputs'!$B$6</f>
        <v>-8.1479494548209832</v>
      </c>
      <c r="C369">
        <f>C368+D368*'Inputs &amp; Outputs'!$B$6</f>
        <v>0.56864119495612886</v>
      </c>
      <c r="D369">
        <f>(-'Inputs &amp; Outputs'!$B$4*B369)/'Inputs &amp; Outputs'!$B$5</f>
        <v>2.0369873637052458</v>
      </c>
      <c r="E369">
        <f>1/2*'Inputs &amp; Outputs'!$B$5*'Iterative Steps'!C369^2</f>
        <v>3.2335280860113413</v>
      </c>
      <c r="F369">
        <f>1/2*'Inputs &amp; Outputs'!$B$4*'Iterative Steps'!B369^2</f>
        <v>165.97270079579388</v>
      </c>
      <c r="G369">
        <f t="shared" si="6"/>
        <v>169.20622888180523</v>
      </c>
    </row>
    <row r="370" spans="1:7" x14ac:dyDescent="0.2">
      <c r="A370">
        <f>A369+'Inputs &amp; Outputs'!$B$6</f>
        <v>9.2488487721684116</v>
      </c>
      <c r="B370">
        <f>B369+C370*'Inputs &amp; Outputs'!$B$6</f>
        <v>-8.132371270211376</v>
      </c>
      <c r="C370">
        <f>C369+D369*'Inputs &amp; Outputs'!$B$6</f>
        <v>0.61983627125430196</v>
      </c>
      <c r="D370">
        <f>(-'Inputs &amp; Outputs'!$B$4*B370)/'Inputs &amp; Outputs'!$B$5</f>
        <v>2.033092817552844</v>
      </c>
      <c r="E370">
        <f>1/2*'Inputs &amp; Outputs'!$B$5*'Iterative Steps'!C370^2</f>
        <v>3.8419700316243661</v>
      </c>
      <c r="F370">
        <f>1/2*'Inputs &amp; Outputs'!$B$4*'Iterative Steps'!B370^2</f>
        <v>165.33865619139846</v>
      </c>
      <c r="G370">
        <f t="shared" si="6"/>
        <v>169.18062622302281</v>
      </c>
    </row>
    <row r="371" spans="1:7" x14ac:dyDescent="0.2">
      <c r="A371">
        <f>A370+'Inputs &amp; Outputs'!$B$6</f>
        <v>9.2739815133971302</v>
      </c>
      <c r="B371">
        <f>B370+C371*'Inputs &amp; Outputs'!$B$6</f>
        <v>-8.1155088730052913</v>
      </c>
      <c r="C371">
        <f>C370+D370*'Inputs &amp; Outputs'!$B$6</f>
        <v>0.67093346693182343</v>
      </c>
      <c r="D371">
        <f>(-'Inputs &amp; Outputs'!$B$4*B371)/'Inputs &amp; Outputs'!$B$5</f>
        <v>2.0288772182513228</v>
      </c>
      <c r="E371">
        <f>1/2*'Inputs &amp; Outputs'!$B$5*'Iterative Steps'!C371^2</f>
        <v>4.501517170491562</v>
      </c>
      <c r="F371">
        <f>1/2*'Inputs &amp; Outputs'!$B$4*'Iterative Steps'!B371^2</f>
        <v>164.65371066956905</v>
      </c>
      <c r="G371">
        <f t="shared" si="6"/>
        <v>169.1552278400606</v>
      </c>
    </row>
    <row r="372" spans="1:7" x14ac:dyDescent="0.2">
      <c r="A372">
        <f>A371+'Inputs &amp; Outputs'!$B$6</f>
        <v>9.2991142546258487</v>
      </c>
      <c r="B372">
        <f>B371+C372*'Inputs &amp; Outputs'!$B$6</f>
        <v>-8.0973649260057652</v>
      </c>
      <c r="C372">
        <f>C371+D371*'Inputs &amp; Outputs'!$B$6</f>
        <v>0.72192471304297579</v>
      </c>
      <c r="D372">
        <f>(-'Inputs &amp; Outputs'!$B$4*B372)/'Inputs &amp; Outputs'!$B$5</f>
        <v>2.0243412315014413</v>
      </c>
      <c r="E372">
        <f>1/2*'Inputs &amp; Outputs'!$B$5*'Iterative Steps'!C372^2</f>
        <v>5.2117529130218294</v>
      </c>
      <c r="F372">
        <f>1/2*'Inputs &amp; Outputs'!$B$4*'Iterative Steps'!B372^2</f>
        <v>163.91829686227086</v>
      </c>
      <c r="G372">
        <f t="shared" si="6"/>
        <v>169.13004977529269</v>
      </c>
    </row>
    <row r="373" spans="1:7" x14ac:dyDescent="0.2">
      <c r="A373">
        <f>A372+'Inputs &amp; Outputs'!$B$6</f>
        <v>9.3242469958545673</v>
      </c>
      <c r="B373">
        <f>B372+C373*'Inputs &amp; Outputs'!$B$6</f>
        <v>-8.0779422943900645</v>
      </c>
      <c r="C373">
        <f>C372+D372*'Inputs &amp; Outputs'!$B$6</f>
        <v>0.77280195737292656</v>
      </c>
      <c r="D373">
        <f>(-'Inputs &amp; Outputs'!$B$4*B373)/'Inputs &amp; Outputs'!$B$5</f>
        <v>2.0194855735975161</v>
      </c>
      <c r="E373">
        <f>1/2*'Inputs &amp; Outputs'!$B$5*'Iterative Steps'!C373^2</f>
        <v>5.9722286531942661</v>
      </c>
      <c r="F373">
        <f>1/2*'Inputs &amp; Outputs'!$B$4*'Iterative Steps'!B373^2</f>
        <v>163.13287927873955</v>
      </c>
      <c r="G373">
        <f t="shared" si="6"/>
        <v>169.10510793193382</v>
      </c>
    </row>
    <row r="374" spans="1:7" x14ac:dyDescent="0.2">
      <c r="A374">
        <f>A373+'Inputs &amp; Outputs'!$B$6</f>
        <v>9.3493797370832858</v>
      </c>
      <c r="B374">
        <f>B373+C374*'Inputs &amp; Outputs'!$B$6</f>
        <v>-8.0572440452572369</v>
      </c>
      <c r="C374">
        <f>C373+D373*'Inputs &amp; Outputs'!$B$6</f>
        <v>0.82355716570928272</v>
      </c>
      <c r="D374">
        <f>(-'Inputs &amp; Outputs'!$B$4*B374)/'Inputs &amp; Outputs'!$B$5</f>
        <v>2.0143110113143092</v>
      </c>
      <c r="E374">
        <f>1/2*'Inputs &amp; Outputs'!$B$5*'Iterative Steps'!C374^2</f>
        <v>6.7824640519110702</v>
      </c>
      <c r="F374">
        <f>1/2*'Inputs &amp; Outputs'!$B$4*'Iterative Steps'!B374^2</f>
        <v>162.29795401208298</v>
      </c>
      <c r="G374">
        <f t="shared" si="6"/>
        <v>169.08041806399405</v>
      </c>
    </row>
    <row r="375" spans="1:7" x14ac:dyDescent="0.2">
      <c r="A375">
        <f>A374+'Inputs &amp; Outputs'!$B$6</f>
        <v>9.3745124783120044</v>
      </c>
      <c r="B375">
        <f>B374+C375*'Inputs &amp; Outputs'!$B$6</f>
        <v>-8.0352734471437728</v>
      </c>
      <c r="C375">
        <f>C374+D374*'Inputs &amp; Outputs'!$B$6</f>
        <v>0.87418232311080324</v>
      </c>
      <c r="D375">
        <f>(-'Inputs &amp; Outputs'!$B$4*B375)/'Inputs &amp; Outputs'!$B$5</f>
        <v>2.0088183617859432</v>
      </c>
      <c r="E375">
        <f>1/2*'Inputs &amp; Outputs'!$B$5*'Iterative Steps'!C375^2</f>
        <v>7.6419473403940072</v>
      </c>
      <c r="F375">
        <f>1/2*'Inputs &amp; Outputs'!$B$4*'Iterative Steps'!B375^2</f>
        <v>161.41404842593442</v>
      </c>
      <c r="G375">
        <f t="shared" si="6"/>
        <v>169.05599576632844</v>
      </c>
    </row>
    <row r="376" spans="1:7" x14ac:dyDescent="0.2">
      <c r="A376">
        <f>A375+'Inputs &amp; Outputs'!$B$6</f>
        <v>9.399645219540723</v>
      </c>
      <c r="B376">
        <f>B375+C376*'Inputs &amp; Outputs'!$B$6</f>
        <v>-8.0120339695074634</v>
      </c>
      <c r="C376">
        <f>C375+D375*'Inputs &amp; Outputs'!$B$6</f>
        <v>0.92466943517306721</v>
      </c>
      <c r="D376">
        <f>(-'Inputs &amp; Outputs'!$B$4*B376)/'Inputs &amp; Outputs'!$B$5</f>
        <v>2.0030084923768658</v>
      </c>
      <c r="E376">
        <f>1/2*'Inputs &amp; Outputs'!$B$5*'Iterative Steps'!C376^2</f>
        <v>8.5501356434327906</v>
      </c>
      <c r="F376">
        <f>1/2*'Inputs &amp; Outputs'!$B$4*'Iterative Steps'!B376^2</f>
        <v>160.4817208213538</v>
      </c>
      <c r="G376">
        <f t="shared" si="6"/>
        <v>169.03185646478659</v>
      </c>
    </row>
    <row r="377" spans="1:7" x14ac:dyDescent="0.2">
      <c r="A377">
        <f>A376+'Inputs &amp; Outputs'!$B$6</f>
        <v>9.4247779607694415</v>
      </c>
      <c r="B377">
        <f>B376+C377*'Inputs &amp; Outputs'!$B$6</f>
        <v>-7.9875292821795192</v>
      </c>
      <c r="C377">
        <f>C376+D376*'Inputs &amp; Outputs'!$B$6</f>
        <v>0.97501052929090026</v>
      </c>
      <c r="D377">
        <f>(-'Inputs &amp; Outputs'!$B$4*B377)/'Inputs &amp; Outputs'!$B$5</f>
        <v>1.99688232054488</v>
      </c>
      <c r="E377">
        <f>1/2*'Inputs &amp; Outputs'!$B$5*'Iterative Steps'!C377^2</f>
        <v>9.506455322281214</v>
      </c>
      <c r="F377">
        <f>1/2*'Inputs &amp; Outputs'!$B$4*'Iterative Steps'!B377^2</f>
        <v>159.50156008418816</v>
      </c>
      <c r="G377">
        <f t="shared" si="6"/>
        <v>169.00801540646938</v>
      </c>
    </row>
    <row r="378" spans="1:7" x14ac:dyDescent="0.2">
      <c r="A378">
        <f>A377+'Inputs &amp; Outputs'!$B$6</f>
        <v>9.4499107019981601</v>
      </c>
      <c r="B378">
        <f>B377+C378*'Inputs &amp; Outputs'!$B$6</f>
        <v>-7.9617632547850592</v>
      </c>
      <c r="C378">
        <f>C377+D377*'Inputs &amp; Outputs'!$B$6</f>
        <v>1.0251976559173572</v>
      </c>
      <c r="D378">
        <f>(-'Inputs &amp; Outputs'!$B$4*B378)/'Inputs &amp; Outputs'!$B$5</f>
        <v>1.9904408136962648</v>
      </c>
      <c r="E378">
        <f>1/2*'Inputs &amp; Outputs'!$B$5*'Iterative Steps'!C378^2</f>
        <v>10.510302336984441</v>
      </c>
      <c r="F378">
        <f>1/2*'Inputs &amp; Outputs'!$B$4*'Iterative Steps'!B378^2</f>
        <v>158.47418531311394</v>
      </c>
      <c r="G378">
        <f t="shared" si="6"/>
        <v>168.98448765009837</v>
      </c>
    </row>
    <row r="379" spans="1:7" x14ac:dyDescent="0.2">
      <c r="A379">
        <f>A378+'Inputs &amp; Outputs'!$B$6</f>
        <v>9.4750434432268786</v>
      </c>
      <c r="B379">
        <f>B378+C379*'Inputs &amp; Outputs'!$B$6</f>
        <v>-7.9347399561320415</v>
      </c>
      <c r="C379">
        <f>C378+D378*'Inputs &amp; Outputs'!$B$6</f>
        <v>1.075222889819065</v>
      </c>
      <c r="D379">
        <f>(-'Inputs &amp; Outputs'!$B$4*B379)/'Inputs &amp; Outputs'!$B$5</f>
        <v>1.9836849890330104</v>
      </c>
      <c r="E379">
        <f>1/2*'Inputs &amp; Outputs'!$B$5*'Iterative Steps'!C379^2</f>
        <v>11.561042627908611</v>
      </c>
      <c r="F379">
        <f>1/2*'Inputs &amp; Outputs'!$B$4*'Iterative Steps'!B379^2</f>
        <v>157.40024542859578</v>
      </c>
      <c r="G379">
        <f t="shared" si="6"/>
        <v>168.9612880565044</v>
      </c>
    </row>
    <row r="380" spans="1:7" x14ac:dyDescent="0.2">
      <c r="A380">
        <f>A379+'Inputs &amp; Outputs'!$B$6</f>
        <v>9.5001761844555972</v>
      </c>
      <c r="B380">
        <f>B379+C380*'Inputs &amp; Outputs'!$B$6</f>
        <v>-7.9064636535687436</v>
      </c>
      <c r="C380">
        <f>C379+D379*'Inputs &amp; Outputs'!$B$6</f>
        <v>1.1250783313277246</v>
      </c>
      <c r="D380">
        <f>(-'Inputs &amp; Outputs'!$B$4*B380)/'Inputs &amp; Outputs'!$B$5</f>
        <v>1.9766159133921861</v>
      </c>
      <c r="E380">
        <f>1/2*'Inputs &amp; Outputs'!$B$5*'Iterative Steps'!C380^2</f>
        <v>12.658012516231773</v>
      </c>
      <c r="F380">
        <f>1/2*'Inputs &amp; Outputs'!$B$4*'Iterative Steps'!B380^2</f>
        <v>156.28041876300901</v>
      </c>
      <c r="G380">
        <f t="shared" si="6"/>
        <v>168.93843127924077</v>
      </c>
    </row>
    <row r="381" spans="1:7" x14ac:dyDescent="0.2">
      <c r="A381">
        <f>A380+'Inputs &amp; Outputs'!$B$6</f>
        <v>9.5253089256843158</v>
      </c>
      <c r="B381">
        <f>B380+C381*'Inputs &amp; Outputs'!$B$6</f>
        <v>-7.8769388123098887</v>
      </c>
      <c r="C381">
        <f>C380+D380*'Inputs &amp; Outputs'!$B$6</f>
        <v>1.1747561075875772</v>
      </c>
      <c r="D381">
        <f>(-'Inputs &amp; Outputs'!$B$4*B381)/'Inputs &amp; Outputs'!$B$5</f>
        <v>1.9692347030774724</v>
      </c>
      <c r="E381">
        <f>1/2*'Inputs &amp; Outputs'!$B$5*'Iterative Steps'!C381^2</f>
        <v>13.800519123143154</v>
      </c>
      <c r="F381">
        <f>1/2*'Inputs &amp; Outputs'!$B$4*'Iterative Steps'!B381^2</f>
        <v>155.11541263218479</v>
      </c>
      <c r="G381">
        <f t="shared" si="6"/>
        <v>168.91593175532793</v>
      </c>
    </row>
    <row r="382" spans="1:7" x14ac:dyDescent="0.2">
      <c r="A382">
        <f>A381+'Inputs &amp; Outputs'!$B$6</f>
        <v>9.5504416669130343</v>
      </c>
      <c r="B382">
        <f>B381+C382*'Inputs &amp; Outputs'!$B$6</f>
        <v>-7.8461700947315283</v>
      </c>
      <c r="C382">
        <f>C381+D381*'Inputs &amp; Outputs'!$B$6</f>
        <v>1.2242483737986354</v>
      </c>
      <c r="D382">
        <f>(-'Inputs &amp; Outputs'!$B$4*B382)/'Inputs &amp; Outputs'!$B$5</f>
        <v>1.9615425236828821</v>
      </c>
      <c r="E382">
        <f>1/2*'Inputs &amp; Outputs'!$B$5*'Iterative Steps'!C382^2</f>
        <v>14.987840807486032</v>
      </c>
      <c r="F382">
        <f>1/2*'Inputs &amp; Outputs'!$B$4*'Iterative Steps'!B382^2</f>
        <v>153.90596288864839</v>
      </c>
      <c r="G382">
        <f t="shared" si="6"/>
        <v>168.89380369613443</v>
      </c>
    </row>
    <row r="383" spans="1:7" x14ac:dyDescent="0.2">
      <c r="A383">
        <f>A382+'Inputs &amp; Outputs'!$B$6</f>
        <v>9.5755744081417529</v>
      </c>
      <c r="B383">
        <f>B382+C383*'Inputs &amp; Outputs'!$B$6</f>
        <v>-7.8141623596347891</v>
      </c>
      <c r="C383">
        <f>C382+D382*'Inputs &amp; Outputs'!$B$6</f>
        <v>1.2735473144554843</v>
      </c>
      <c r="D383">
        <f>(-'Inputs &amp; Outputs'!$B$4*B383)/'Inputs &amp; Outputs'!$B$5</f>
        <v>1.9535405899086975</v>
      </c>
      <c r="E383">
        <f>1/2*'Inputs &amp; Outputs'!$B$5*'Iterative Steps'!C383^2</f>
        <v>16.219227621567761</v>
      </c>
      <c r="F383">
        <f>1/2*'Inputs &amp; Outputs'!$B$4*'Iterative Steps'!B383^2</f>
        <v>152.65283345683284</v>
      </c>
      <c r="G383">
        <f t="shared" si="6"/>
        <v>168.87206107840061</v>
      </c>
    </row>
    <row r="384" spans="1:7" x14ac:dyDescent="0.2">
      <c r="A384">
        <f>A383+'Inputs &amp; Outputs'!$B$6</f>
        <v>9.6007071493704714</v>
      </c>
      <c r="B384">
        <f>B383+C384*'Inputs &amp; Outputs'!$B$6</f>
        <v>-7.7809206614786026</v>
      </c>
      <c r="C384">
        <f>C383+D383*'Inputs &amp; Outputs'!$B$6</f>
        <v>1.3226451445814573</v>
      </c>
      <c r="D384">
        <f>(-'Inputs &amp; Outputs'!$B$4*B384)/'Inputs &amp; Outputs'!$B$5</f>
        <v>1.9452301653696504</v>
      </c>
      <c r="E384">
        <f>1/2*'Inputs &amp; Outputs'!$B$5*'Iterative Steps'!C384^2</f>
        <v>17.493901784849044</v>
      </c>
      <c r="F384">
        <f>1/2*'Inputs &amp; Outputs'!$B$4*'Iterative Steps'!B384^2</f>
        <v>151.35681585056153</v>
      </c>
      <c r="G384">
        <f t="shared" si="6"/>
        <v>168.85071763541058</v>
      </c>
    </row>
    <row r="385" spans="1:7" x14ac:dyDescent="0.2">
      <c r="A385">
        <f>A384+'Inputs &amp; Outputs'!$B$6</f>
        <v>9.62583989059919</v>
      </c>
      <c r="B385">
        <f>B384+C385*'Inputs &amp; Outputs'!$B$6</f>
        <v>-7.7464502495815353</v>
      </c>
      <c r="C385">
        <f>C384+D384*'Inputs &amp; Outputs'!$B$6</f>
        <v>1.3715341109579897</v>
      </c>
      <c r="D385">
        <f>(-'Inputs &amp; Outputs'!$B$4*B385)/'Inputs &amp; Outputs'!$B$5</f>
        <v>1.9366125623953838</v>
      </c>
      <c r="E385">
        <f>1/2*'Inputs &amp; Outputs'!$B$5*'Iterative Steps'!C385^2</f>
        <v>18.811058175213233</v>
      </c>
      <c r="F385">
        <f>1/2*'Inputs &amp; Outputs'!$B$4*'Iterative Steps'!B385^2</f>
        <v>150.01872867310456</v>
      </c>
      <c r="G385">
        <f t="shared" si="6"/>
        <v>168.82978684831778</v>
      </c>
    </row>
    <row r="386" spans="1:7" x14ac:dyDescent="0.2">
      <c r="A386">
        <f>A385+'Inputs &amp; Outputs'!$B$6</f>
        <v>9.6509726318279085</v>
      </c>
      <c r="B386">
        <f>B385+C386*'Inputs &amp; Outputs'!$B$6</f>
        <v>-7.71075656729285</v>
      </c>
      <c r="C386">
        <f>C385+D385*'Inputs &amp; Outputs'!$B$6</f>
        <v>1.420206493348958</v>
      </c>
      <c r="D386">
        <f>(-'Inputs &amp; Outputs'!$B$4*B386)/'Inputs &amp; Outputs'!$B$5</f>
        <v>1.9276891418232125</v>
      </c>
      <c r="E386">
        <f>1/2*'Inputs &amp; Outputs'!$B$5*'Iterative Steps'!C386^2</f>
        <v>20.169864837505436</v>
      </c>
      <c r="F386">
        <f>1/2*'Inputs &amp; Outputs'!$B$4*'Iterative Steps'!B386^2</f>
        <v>148.63941710012455</v>
      </c>
      <c r="G386">
        <f t="shared" si="6"/>
        <v>168.80928193762998</v>
      </c>
    </row>
    <row r="387" spans="1:7" x14ac:dyDescent="0.2">
      <c r="A387">
        <f>A386+'Inputs &amp; Outputs'!$B$6</f>
        <v>9.6761053730566271</v>
      </c>
      <c r="B387">
        <f>B386+C387*'Inputs &amp; Outputs'!$B$6</f>
        <v>-7.6738452511329287</v>
      </c>
      <c r="C387">
        <f>C386+D386*'Inputs &amp; Outputs'!$B$6</f>
        <v>1.4686546057198109</v>
      </c>
      <c r="D387">
        <f>(-'Inputs &amp; Outputs'!$B$4*B387)/'Inputs &amp; Outputs'!$B$5</f>
        <v>1.9184613127832322</v>
      </c>
      <c r="E387">
        <f>1/2*'Inputs &amp; Outputs'!$B$5*'Iterative Steps'!C387^2</f>
        <v>21.569463509020132</v>
      </c>
      <c r="F387">
        <f>1/2*'Inputs &amp; Outputs'!$B$4*'Iterative Steps'!B387^2</f>
        <v>147.21975234583849</v>
      </c>
      <c r="G387">
        <f t="shared" ref="G387:G450" si="7">SUM(E387:F387)</f>
        <v>168.78921585485861</v>
      </c>
    </row>
    <row r="388" spans="1:7" x14ac:dyDescent="0.2">
      <c r="A388">
        <f>A387+'Inputs &amp; Outputs'!$B$6</f>
        <v>9.7012381142853457</v>
      </c>
      <c r="B388">
        <f>B387+C388*'Inputs &amp; Outputs'!$B$6</f>
        <v>-7.6357221299031854</v>
      </c>
      <c r="C388">
        <f>C387+D387*'Inputs &amp; Outputs'!$B$6</f>
        <v>1.5168707974512992</v>
      </c>
      <c r="D388">
        <f>(-'Inputs &amp; Outputs'!$B$4*B388)/'Inputs &amp; Outputs'!$B$5</f>
        <v>1.9089305324757961</v>
      </c>
      <c r="E388">
        <f>1/2*'Inputs &amp; Outputs'!$B$5*'Iterative Steps'!C388^2</f>
        <v>23.008970161605404</v>
      </c>
      <c r="F388">
        <f>1/2*'Inputs &amp; Outputs'!$B$4*'Iterative Steps'!B388^2</f>
        <v>145.76063111273311</v>
      </c>
      <c r="G388">
        <f t="shared" si="7"/>
        <v>168.76960127433853</v>
      </c>
    </row>
    <row r="389" spans="1:7" x14ac:dyDescent="0.2">
      <c r="A389">
        <f>A388+'Inputs &amp; Outputs'!$B$6</f>
        <v>9.7263708555140642</v>
      </c>
      <c r="B389">
        <f>B388+C389*'Inputs &amp; Outputs'!$B$6</f>
        <v>-7.596393223765622</v>
      </c>
      <c r="C389">
        <f>C388+D388*'Inputs &amp; Outputs'!$B$6</f>
        <v>1.5648474545476128</v>
      </c>
      <c r="D389">
        <f>(-'Inputs &amp; Outputs'!$B$4*B389)/'Inputs &amp; Outputs'!$B$5</f>
        <v>1.8990983059414055</v>
      </c>
      <c r="E389">
        <f>1/2*'Inputs &amp; Outputs'!$B$5*'Iterative Steps'!C389^2</f>
        <v>24.487475560041432</v>
      </c>
      <c r="F389">
        <f>1/2*'Inputs &amp; Outputs'!$B$4*'Iterative Steps'!B389^2</f>
        <v>144.26297502518065</v>
      </c>
      <c r="G389">
        <f t="shared" si="7"/>
        <v>168.7504505852221</v>
      </c>
    </row>
    <row r="390" spans="1:7" x14ac:dyDescent="0.2">
      <c r="A390">
        <f>A389+'Inputs &amp; Outputs'!$B$6</f>
        <v>9.7515035967427828</v>
      </c>
      <c r="B390">
        <f>B389+C390*'Inputs &amp; Outputs'!$B$6</f>
        <v>-7.5558647432921591</v>
      </c>
      <c r="C390">
        <f>C389+D389*'Inputs &amp; Outputs'!$B$6</f>
        <v>1.6125770008387355</v>
      </c>
      <c r="D390">
        <f>(-'Inputs &amp; Outputs'!$B$4*B390)/'Inputs &amp; Outputs'!$B$5</f>
        <v>1.8889661858230398</v>
      </c>
      <c r="E390">
        <f>1/2*'Inputs &amp; Outputs'!$B$5*'Iterative Steps'!C390^2</f>
        <v>26.004045836340509</v>
      </c>
      <c r="F390">
        <f>1/2*'Inputs &amp; Outputs'!$B$4*'Iterative Steps'!B390^2</f>
        <v>142.72773004731371</v>
      </c>
      <c r="G390">
        <f t="shared" si="7"/>
        <v>168.73177588365422</v>
      </c>
    </row>
    <row r="391" spans="1:7" x14ac:dyDescent="0.2">
      <c r="A391">
        <f>A390+'Inputs &amp; Outputs'!$B$6</f>
        <v>9.7766363379715013</v>
      </c>
      <c r="B391">
        <f>B390+C391*'Inputs &amp; Outputs'!$B$6</f>
        <v>-7.5141430884839053</v>
      </c>
      <c r="C391">
        <f>C390+D390*'Inputs &amp; Outputs'!$B$6</f>
        <v>1.6600518991768249</v>
      </c>
      <c r="D391">
        <f>(-'Inputs &amp; Outputs'!$B$4*B391)/'Inputs &amp; Outputs'!$B$5</f>
        <v>1.8785357721209763</v>
      </c>
      <c r="E391">
        <f>1/2*'Inputs &amp; Outputs'!$B$5*'Iterative Steps'!C391^2</f>
        <v>27.557723079605832</v>
      </c>
      <c r="F391">
        <f>1/2*'Inputs &amp; Outputs'!$B$4*'Iterative Steps'!B391^2</f>
        <v>141.15586588552611</v>
      </c>
      <c r="G391">
        <f t="shared" si="7"/>
        <v>168.71358896513195</v>
      </c>
    </row>
    <row r="392" spans="1:7" x14ac:dyDescent="0.2">
      <c r="A392">
        <f>A391+'Inputs &amp; Outputs'!$B$6</f>
        <v>9.8017690792002199</v>
      </c>
      <c r="B392">
        <f>B391+C392*'Inputs &amp; Outputs'!$B$6</f>
        <v>-7.4712348477605071</v>
      </c>
      <c r="C392">
        <f>C391+D391*'Inputs &amp; Outputs'!$B$6</f>
        <v>1.7072646526264321</v>
      </c>
      <c r="D392">
        <f>(-'Inputs &amp; Outputs'!$B$4*B392)/'Inputs &amp; Outputs'!$B$5</f>
        <v>1.867808711940127</v>
      </c>
      <c r="E392">
        <f>1/2*'Inputs &amp; Outputs'!$B$5*'Iterative Steps'!C392^2</f>
        <v>29.14752594107652</v>
      </c>
      <c r="F392">
        <f>1/2*'Inputs &amp; Outputs'!$B$4*'Iterative Steps'!B392^2</f>
        <v>139.54837537597743</v>
      </c>
      <c r="G392">
        <f t="shared" si="7"/>
        <v>168.69590131705394</v>
      </c>
    </row>
    <row r="393" spans="1:7" x14ac:dyDescent="0.2">
      <c r="A393">
        <f>A392+'Inputs &amp; Outputs'!$B$6</f>
        <v>9.8269018204289384</v>
      </c>
      <c r="B393">
        <f>B392+C393*'Inputs &amp; Outputs'!$B$6</f>
        <v>-7.4271467969197484</v>
      </c>
      <c r="C393">
        <f>C392+D392*'Inputs &amp; Outputs'!$B$6</f>
        <v>1.754207805648369</v>
      </c>
      <c r="D393">
        <f>(-'Inputs &amp; Outputs'!$B$4*B393)/'Inputs &amp; Outputs'!$B$5</f>
        <v>1.8567866992299371</v>
      </c>
      <c r="E393">
        <f>1/2*'Inputs &amp; Outputs'!$B$5*'Iterative Steps'!C393^2</f>
        <v>30.772450253976658</v>
      </c>
      <c r="F393">
        <f>1/2*'Inputs &amp; Outputs'!$B$4*'Iterative Steps'!B393^2</f>
        <v>137.9062738574882</v>
      </c>
      <c r="G393">
        <f t="shared" si="7"/>
        <v>168.67872411146487</v>
      </c>
    </row>
    <row r="394" spans="1:7" x14ac:dyDescent="0.2">
      <c r="A394">
        <f>A393+'Inputs &amp; Outputs'!$B$6</f>
        <v>9.852034561657657</v>
      </c>
      <c r="B394">
        <f>B393+C394*'Inputs &amp; Outputs'!$B$6</f>
        <v>-7.3818858980675595</v>
      </c>
      <c r="C394">
        <f>C393+D393*'Inputs &amp; Outputs'!$B$6</f>
        <v>1.800873945277041</v>
      </c>
      <c r="D394">
        <f>(-'Inputs &amp; Outputs'!$B$4*B394)/'Inputs &amp; Outputs'!$B$5</f>
        <v>1.8454714745168901</v>
      </c>
      <c r="E394">
        <f>1/2*'Inputs &amp; Outputs'!$B$5*'Iterative Steps'!C394^2</f>
        <v>32.431469667776952</v>
      </c>
      <c r="F394">
        <f>1/2*'Inputs &amp; Outputs'!$B$4*'Iterative Steps'!B394^2</f>
        <v>136.23059853022176</v>
      </c>
      <c r="G394">
        <f t="shared" si="7"/>
        <v>168.66206819799871</v>
      </c>
    </row>
    <row r="395" spans="1:7" x14ac:dyDescent="0.2">
      <c r="A395">
        <f>A394+'Inputs &amp; Outputs'!$B$6</f>
        <v>9.8771673028863756</v>
      </c>
      <c r="B395">
        <f>B394+C395*'Inputs &amp; Outputs'!$B$6</f>
        <v>-7.3354592985186038</v>
      </c>
      <c r="C395">
        <f>C394+D394*'Inputs &amp; Outputs'!$B$6</f>
        <v>1.8472557022910554</v>
      </c>
      <c r="D395">
        <f>(-'Inputs &amp; Outputs'!$B$4*B395)/'Inputs &amp; Outputs'!$B$5</f>
        <v>1.8338648246296507</v>
      </c>
      <c r="E395">
        <f>1/2*'Inputs &amp; Outputs'!$B$5*'Iterative Steps'!C395^2</f>
        <v>34.123536296468203</v>
      </c>
      <c r="F395">
        <f>1/2*'Inputs &amp; Outputs'!$B$4*'Iterative Steps'!B395^2</f>
        <v>134.52240780055763</v>
      </c>
      <c r="G395">
        <f t="shared" si="7"/>
        <v>168.64594409702585</v>
      </c>
    </row>
    <row r="396" spans="1:7" x14ac:dyDescent="0.2">
      <c r="A396">
        <f>A395+'Inputs &amp; Outputs'!$B$6</f>
        <v>9.9023000441150941</v>
      </c>
      <c r="B396">
        <f>B395+C396*'Inputs &amp; Outputs'!$B$6</f>
        <v>-7.2878743296676216</v>
      </c>
      <c r="C396">
        <f>C395+D395*'Inputs &amp; Outputs'!$B$6</f>
        <v>1.8933457523769213</v>
      </c>
      <c r="D396">
        <f>(-'Inputs &amp; Outputs'!$B$4*B396)/'Inputs &amp; Outputs'!$B$5</f>
        <v>1.8219685824169054</v>
      </c>
      <c r="E396">
        <f>1/2*'Inputs &amp; Outputs'!$B$5*'Iterative Steps'!C396^2</f>
        <v>35.847581380437305</v>
      </c>
      <c r="F396">
        <f>1/2*'Inputs &amp; Outputs'!$B$4*'Iterative Steps'!B396^2</f>
        <v>132.78278061257072</v>
      </c>
      <c r="G396">
        <f t="shared" si="7"/>
        <v>168.63036199300802</v>
      </c>
    </row>
    <row r="397" spans="1:7" x14ac:dyDescent="0.2">
      <c r="A397">
        <f>A396+'Inputs &amp; Outputs'!$B$6</f>
        <v>9.9274327853438127</v>
      </c>
      <c r="B397">
        <f>B396+C397*'Inputs &amp; Outputs'!$B$6</f>
        <v>-7.2391385058317006</v>
      </c>
      <c r="C397">
        <f>C396+D396*'Inputs &amp; Outputs'!$B$6</f>
        <v>1.9391368172856602</v>
      </c>
      <c r="D397">
        <f>(-'Inputs &amp; Outputs'!$B$4*B397)/'Inputs &amp; Outputs'!$B$5</f>
        <v>1.8097846264579254</v>
      </c>
      <c r="E397">
        <f>1/2*'Inputs &amp; Outputs'!$B$5*'Iterative Steps'!C397^2</f>
        <v>37.602515961527601</v>
      </c>
      <c r="F397">
        <f>1/2*'Inputs &amp; Outputs'!$B$4*'Iterative Steps'!B397^2</f>
        <v>131.01281576653807</v>
      </c>
      <c r="G397">
        <f t="shared" si="7"/>
        <v>168.61533172806566</v>
      </c>
    </row>
    <row r="398" spans="1:7" x14ac:dyDescent="0.2">
      <c r="A398">
        <f>A397+'Inputs &amp; Outputs'!$B$6</f>
        <v>9.9525655265725312</v>
      </c>
      <c r="B398">
        <f>B397+C398*'Inputs &amp; Outputs'!$B$6</f>
        <v>-7.1892595230636633</v>
      </c>
      <c r="C398">
        <f>C397+D397*'Inputs &amp; Outputs'!$B$6</f>
        <v>1.9846216659821401</v>
      </c>
      <c r="D398">
        <f>(-'Inputs &amp; Outputs'!$B$4*B398)/'Inputs &amp; Outputs'!$B$5</f>
        <v>1.7973148807659158</v>
      </c>
      <c r="E398">
        <f>1/2*'Inputs &amp; Outputs'!$B$5*'Iterative Steps'!C398^2</f>
        <v>39.387231570857253</v>
      </c>
      <c r="F398">
        <f>1/2*'Inputs &amp; Outputs'!$B$4*'Iterative Steps'!B398^2</f>
        <v>129.21363122490393</v>
      </c>
      <c r="G398">
        <f t="shared" si="7"/>
        <v>168.6008627957612</v>
      </c>
    </row>
    <row r="399" spans="1:7" x14ac:dyDescent="0.2">
      <c r="A399">
        <f>A398+'Inputs &amp; Outputs'!$B$6</f>
        <v>9.9776982678012498</v>
      </c>
      <c r="B399">
        <f>B398+C399*'Inputs &amp; Outputs'!$B$6</f>
        <v>-7.1382452579367559</v>
      </c>
      <c r="C399">
        <f>C398+D398*'Inputs &amp; Outputs'!$B$6</f>
        <v>2.0297931157869544</v>
      </c>
      <c r="D399">
        <f>(-'Inputs &amp; Outputs'!$B$4*B399)/'Inputs &amp; Outputs'!$B$5</f>
        <v>1.7845613144841892</v>
      </c>
      <c r="E399">
        <f>1/2*'Inputs &amp; Outputs'!$B$5*'Iterative Steps'!C399^2</f>
        <v>41.200600928961123</v>
      </c>
      <c r="F399">
        <f>1/2*'Inputs &amp; Outputs'!$B$4*'Iterative Steps'!B399^2</f>
        <v>127.38636340614147</v>
      </c>
      <c r="G399">
        <f t="shared" si="7"/>
        <v>168.58696433510261</v>
      </c>
    </row>
    <row r="400" spans="1:7" x14ac:dyDescent="0.2">
      <c r="A400">
        <f>A399+'Inputs &amp; Outputs'!$B$6</f>
        <v>10.002831009029968</v>
      </c>
      <c r="B400">
        <f>B399+C400*'Inputs &amp; Outputs'!$B$6</f>
        <v>-7.0861037663008277</v>
      </c>
      <c r="C400">
        <f>C399+D399*'Inputs &amp; Outputs'!$B$6</f>
        <v>2.0746440335106668</v>
      </c>
      <c r="D400">
        <f>(-'Inputs &amp; Outputs'!$B$4*B400)/'Inputs &amp; Outputs'!$B$5</f>
        <v>1.7715259415752069</v>
      </c>
      <c r="E400">
        <f>1/2*'Inputs &amp; Outputs'!$B$5*'Iterative Steps'!C400^2</f>
        <v>43.041478657814089</v>
      </c>
      <c r="F400">
        <f>1/2*'Inputs &amp; Outputs'!$B$4*'Iterative Steps'!B400^2</f>
        <v>125.53216646695694</v>
      </c>
      <c r="G400">
        <f t="shared" si="7"/>
        <v>168.57364512477102</v>
      </c>
    </row>
    <row r="401" spans="1:7" x14ac:dyDescent="0.2">
      <c r="A401">
        <f>A400+'Inputs &amp; Outputs'!$B$6</f>
        <v>10.027963750258687</v>
      </c>
      <c r="B401">
        <f>B400+C401*'Inputs &amp; Outputs'!$B$6</f>
        <v>-7.0328432820102043</v>
      </c>
      <c r="C401">
        <f>C400+D400*'Inputs &amp; Outputs'!$B$6</f>
        <v>2.1191673365802379</v>
      </c>
      <c r="D401">
        <f>(-'Inputs &amp; Outputs'!$B$4*B401)/'Inputs &amp; Outputs'!$B$5</f>
        <v>1.7582108205025508</v>
      </c>
      <c r="E401">
        <f>1/2*'Inputs &amp; Outputs'!$B$5*'Iterative Steps'!C401^2</f>
        <v>44.9087020042858</v>
      </c>
      <c r="F401">
        <f>1/2*'Inputs &amp; Outputs'!$B$4*'Iterative Steps'!B401^2</f>
        <v>123.65221157329016</v>
      </c>
      <c r="G401">
        <f t="shared" si="7"/>
        <v>168.56091357757595</v>
      </c>
    </row>
    <row r="402" spans="1:7" x14ac:dyDescent="0.2">
      <c r="A402">
        <f>A401+'Inputs &amp; Outputs'!$B$6</f>
        <v>10.053096491487405</v>
      </c>
      <c r="B402">
        <f>B401+C402*'Inputs &amp; Outputs'!$B$6</f>
        <v>-6.978472215623448</v>
      </c>
      <c r="C402">
        <f>C401+D401*'Inputs &amp; Outputs'!$B$6</f>
        <v>2.1633559941574609</v>
      </c>
      <c r="D402">
        <f>(-'Inputs &amp; Outputs'!$B$4*B402)/'Inputs &amp; Outputs'!$B$5</f>
        <v>1.744618053905862</v>
      </c>
      <c r="E402">
        <f>1/2*'Inputs &amp; Outputs'!$B$5*'Iterative Steps'!C402^2</f>
        <v>46.801091574570165</v>
      </c>
      <c r="F402">
        <f>1/2*'Inputs &amp; Outputs'!$B$4*'Iterative Steps'!B402^2</f>
        <v>121.74768616057109</v>
      </c>
      <c r="G402">
        <f t="shared" si="7"/>
        <v>168.54877773514124</v>
      </c>
    </row>
    <row r="403" spans="1:7" x14ac:dyDescent="0.2">
      <c r="A403">
        <f>A402+'Inputs &amp; Outputs'!$B$6</f>
        <v>10.078229232716124</v>
      </c>
      <c r="B403">
        <f>B402+C403*'Inputs &amp; Outputs'!$B$6</f>
        <v>-6.9229991530752164</v>
      </c>
      <c r="C403">
        <f>C402+D402*'Inputs &amp; Outputs'!$B$6</f>
        <v>2.2072030282492272</v>
      </c>
      <c r="D403">
        <f>(-'Inputs &amp; Outputs'!$B$4*B403)/'Inputs &amp; Outputs'!$B$5</f>
        <v>1.7307497882688039</v>
      </c>
      <c r="E403">
        <f>1/2*'Inputs &amp; Outputs'!$B$5*'Iterative Steps'!C403^2</f>
        <v>48.717452079125593</v>
      </c>
      <c r="F403">
        <f>1/2*'Inputs &amp; Outputs'!$B$4*'Iterative Steps'!B403^2</f>
        <v>119.8197931837004</v>
      </c>
      <c r="G403">
        <f t="shared" si="7"/>
        <v>168.53724526282599</v>
      </c>
    </row>
    <row r="404" spans="1:7" x14ac:dyDescent="0.2">
      <c r="A404">
        <f>A403+'Inputs &amp; Outputs'!$B$6</f>
        <v>10.103361973944843</v>
      </c>
      <c r="B404">
        <f>B403+C404*'Inputs &amp; Outputs'!$B$6</f>
        <v>-6.8664328543204265</v>
      </c>
      <c r="C404">
        <f>C403+D403*'Inputs &amp; Outputs'!$B$6</f>
        <v>2.250701514809446</v>
      </c>
      <c r="D404">
        <f>(-'Inputs &amp; Outputs'!$B$4*B404)/'Inputs &amp; Outputs'!$B$5</f>
        <v>1.7166082135801066</v>
      </c>
      <c r="E404">
        <f>1/2*'Inputs &amp; Outputs'!$B$5*'Iterative Steps'!C404^2</f>
        <v>50.656573087655346</v>
      </c>
      <c r="F404">
        <f>1/2*'Inputs &amp; Outputs'!$B$4*'Iterative Steps'!B404^2</f>
        <v>117.8697503572274</v>
      </c>
      <c r="G404">
        <f t="shared" si="7"/>
        <v>168.52632344488273</v>
      </c>
    </row>
    <row r="405" spans="1:7" x14ac:dyDescent="0.2">
      <c r="A405">
        <f>A404+'Inputs &amp; Outputs'!$B$6</f>
        <v>10.128494715173561</v>
      </c>
      <c r="B405">
        <f>B404+C405*'Inputs &amp; Outputs'!$B$6</f>
        <v>-6.8087822519509356</v>
      </c>
      <c r="C405">
        <f>C404+D404*'Inputs &amp; Outputs'!$B$6</f>
        <v>2.2938445848324474</v>
      </c>
      <c r="D405">
        <f>(-'Inputs &amp; Outputs'!$B$4*B405)/'Inputs &amp; Outputs'!$B$5</f>
        <v>1.7021955629877339</v>
      </c>
      <c r="E405">
        <f>1/2*'Inputs &amp; Outputs'!$B$5*'Iterative Steps'!C405^2</f>
        <v>52.617229793651425</v>
      </c>
      <c r="F405">
        <f>1/2*'Inputs &amp; Outputs'!$B$4*'Iterative Steps'!B405^2</f>
        <v>115.89878938620514</v>
      </c>
      <c r="G405">
        <f t="shared" si="7"/>
        <v>168.51601917985656</v>
      </c>
    </row>
    <row r="406" spans="1:7" x14ac:dyDescent="0.2">
      <c r="A406">
        <f>A405+'Inputs &amp; Outputs'!$B$6</f>
        <v>10.15362745640228</v>
      </c>
      <c r="B406">
        <f>B405+C406*'Inputs &amp; Outputs'!$B$6</f>
        <v>-6.7500564497849664</v>
      </c>
      <c r="C406">
        <f>C405+D405*'Inputs &amp; Outputs'!$B$6</f>
        <v>2.3366254254376906</v>
      </c>
      <c r="D406">
        <f>(-'Inputs &amp; Outputs'!$B$4*B406)/'Inputs &amp; Outputs'!$B$5</f>
        <v>1.6875141124462416</v>
      </c>
      <c r="E406">
        <f>1/2*'Inputs &amp; Outputs'!$B$5*'Iterative Steps'!C406^2</f>
        <v>54.598183788018687</v>
      </c>
      <c r="F406">
        <f>1/2*'Inputs &amp; Outputs'!$B$4*'Iterative Steps'!B406^2</f>
        <v>113.90815518820907</v>
      </c>
      <c r="G406">
        <f t="shared" si="7"/>
        <v>168.50633897622777</v>
      </c>
    </row>
    <row r="407" spans="1:7" x14ac:dyDescent="0.2">
      <c r="A407">
        <f>A406+'Inputs &amp; Outputs'!$B$6</f>
        <v>10.178760197630998</v>
      </c>
      <c r="B407">
        <f>B406+C407*'Inputs &amp; Outputs'!$B$6</f>
        <v>-6.6902647214294868</v>
      </c>
      <c r="C407">
        <f>C406+D406*'Inputs &amp; Outputs'!$B$6</f>
        <v>2.3790372809456124</v>
      </c>
      <c r="D407">
        <f>(-'Inputs &amp; Outputs'!$B$4*B407)/'Inputs &amp; Outputs'!$B$5</f>
        <v>1.6725661803573719</v>
      </c>
      <c r="E407">
        <f>1/2*'Inputs &amp; Outputs'!$B$5*'Iterative Steps'!C407^2</f>
        <v>56.598183841290925</v>
      </c>
      <c r="F407">
        <f>1/2*'Inputs &amp; Outputs'!$B$4*'Iterative Steps'!B407^2</f>
        <v>111.89910510700992</v>
      </c>
      <c r="G407">
        <f t="shared" si="7"/>
        <v>168.49728894830085</v>
      </c>
    </row>
    <row r="408" spans="1:7" x14ac:dyDescent="0.2">
      <c r="A408">
        <f>A407+'Inputs &amp; Outputs'!$B$6</f>
        <v>10.203892938859717</v>
      </c>
      <c r="B408">
        <f>B407+C408*'Inputs &amp; Outputs'!$B$6</f>
        <v>-6.6294165088157815</v>
      </c>
      <c r="C408">
        <f>C407+D407*'Inputs &amp; Outputs'!$B$6</f>
        <v>2.4210734539444401</v>
      </c>
      <c r="D408">
        <f>(-'Inputs &amp; Outputs'!$B$4*B408)/'Inputs &amp; Outputs'!$B$5</f>
        <v>1.6573541272039454</v>
      </c>
      <c r="E408">
        <f>1/2*'Inputs &amp; Outputs'!$B$5*'Iterative Steps'!C408^2</f>
        <v>58.6159666939446</v>
      </c>
      <c r="F408">
        <f>1/2*'Inputs &amp; Outputs'!$B$4*'Iterative Steps'!B408^2</f>
        <v>109.87290811839806</v>
      </c>
      <c r="G408">
        <f t="shared" si="7"/>
        <v>168.48887481234266</v>
      </c>
    </row>
    <row r="409" spans="1:7" x14ac:dyDescent="0.2">
      <c r="A409">
        <f>A408+'Inputs &amp; Outputs'!$B$6</f>
        <v>10.229025680088435</v>
      </c>
      <c r="B409">
        <f>B408+C409*'Inputs &amp; Outputs'!$B$6</f>
        <v>-6.5675214207084434</v>
      </c>
      <c r="C409">
        <f>C408+D408*'Inputs &amp; Outputs'!$B$6</f>
        <v>2.462727306347805</v>
      </c>
      <c r="D409">
        <f>(-'Inputs &amp; Outputs'!$B$4*B409)/'Inputs &amp; Outputs'!$B$5</f>
        <v>1.6418803551771108</v>
      </c>
      <c r="E409">
        <f>1/2*'Inputs &amp; Outputs'!$B$5*'Iterative Steps'!C409^2</f>
        <v>60.65025785431115</v>
      </c>
      <c r="F409">
        <f>1/2*'Inputs &amp; Outputs'!$B$4*'Iterative Steps'!B409^2</f>
        <v>107.83084402866064</v>
      </c>
      <c r="G409">
        <f t="shared" si="7"/>
        <v>168.48110188297179</v>
      </c>
    </row>
    <row r="410" spans="1:7" x14ac:dyDescent="0.2">
      <c r="A410">
        <f>A409+'Inputs &amp; Outputs'!$B$6</f>
        <v>10.254158421317154</v>
      </c>
      <c r="B410">
        <f>B409+C410*'Inputs &amp; Outputs'!$B$6</f>
        <v>-6.5045892311880165</v>
      </c>
      <c r="C410">
        <f>C409+D409*'Inputs &amp; Outputs'!$B$6</f>
        <v>2.5039922604429874</v>
      </c>
      <c r="D410">
        <f>(-'Inputs &amp; Outputs'!$B$4*B410)/'Inputs &amp; Outputs'!$B$5</f>
        <v>1.6261473077970041</v>
      </c>
      <c r="E410">
        <f>1/2*'Inputs &amp; Outputs'!$B$5*'Iterative Steps'!C410^2</f>
        <v>62.699772403583822</v>
      </c>
      <c r="F410">
        <f>1/2*'Inputs &amp; Outputs'!$B$4*'Iterative Steps'!B410^2</f>
        <v>105.77420266621778</v>
      </c>
      <c r="G410">
        <f t="shared" si="7"/>
        <v>168.47397506980161</v>
      </c>
    </row>
    <row r="411" spans="1:7" x14ac:dyDescent="0.2">
      <c r="A411">
        <f>A410+'Inputs &amp; Outputs'!$B$6</f>
        <v>10.279291162545872</v>
      </c>
      <c r="B411">
        <f>B410+C411*'Inputs &amp; Outputs'!$B$6</f>
        <v>-6.4406298781075346</v>
      </c>
      <c r="C411">
        <f>C410+D410*'Inputs &amp; Outputs'!$B$6</f>
        <v>2.5448617999296266</v>
      </c>
      <c r="D411">
        <f>(-'Inputs &amp; Outputs'!$B$4*B411)/'Inputs &amp; Outputs'!$B$5</f>
        <v>1.6101574695268837</v>
      </c>
      <c r="E411">
        <f>1/2*'Inputs &amp; Outputs'!$B$5*'Iterative Steps'!C411^2</f>
        <v>64.763215807410589</v>
      </c>
      <c r="F411">
        <f>1/2*'Inputs &amp; Outputs'!$B$4*'Iterative Steps'!B411^2</f>
        <v>103.7042830669287</v>
      </c>
      <c r="G411">
        <f t="shared" si="7"/>
        <v>168.4674988743393</v>
      </c>
    </row>
    <row r="412" spans="1:7" x14ac:dyDescent="0.2">
      <c r="A412">
        <f>A411+'Inputs &amp; Outputs'!$B$6</f>
        <v>10.304423903774591</v>
      </c>
      <c r="B412">
        <f>B411+C412*'Inputs &amp; Outputs'!$B$6</f>
        <v>-6.3756534615232008</v>
      </c>
      <c r="C412">
        <f>C411+D411*'Inputs &amp; Outputs'!$B$6</f>
        <v>2.5853294709487336</v>
      </c>
      <c r="D412">
        <f>(-'Inputs &amp; Outputs'!$B$4*B412)/'Inputs &amp; Outputs'!$B$5</f>
        <v>1.5939133653808002</v>
      </c>
      <c r="E412">
        <f>1/2*'Inputs &amp; Outputs'!$B$5*'Iterative Steps'!C412^2</f>
        <v>66.839284733560589</v>
      </c>
      <c r="F412">
        <f>1/2*'Inputs &amp; Outputs'!$B$4*'Iterative Steps'!B412^2</f>
        <v>101.62239265358194</v>
      </c>
      <c r="G412">
        <f t="shared" si="7"/>
        <v>168.46167738714252</v>
      </c>
    </row>
    <row r="413" spans="1:7" x14ac:dyDescent="0.2">
      <c r="A413">
        <f>A412+'Inputs &amp; Outputs'!$B$6</f>
        <v>10.32955664500331</v>
      </c>
      <c r="B413">
        <f>B412+C413*'Inputs &amp; Outputs'!$B$6</f>
        <v>-6.3096702420994486</v>
      </c>
      <c r="C413">
        <f>C412+D412*'Inputs &amp; Outputs'!$B$6</f>
        <v>2.6253888831018446</v>
      </c>
      <c r="D413">
        <f>(-'Inputs &amp; Outputs'!$B$4*B413)/'Inputs &amp; Outputs'!$B$5</f>
        <v>1.5774175605248622</v>
      </c>
      <c r="E413">
        <f>1/2*'Inputs &amp; Outputs'!$B$5*'Iterative Steps'!C413^2</f>
        <v>68.926667875147515</v>
      </c>
      <c r="F413">
        <f>1/2*'Inputs &amp; Outputs'!$B$4*'Iterative Steps'!B413^2</f>
        <v>99.529846410088282</v>
      </c>
      <c r="G413">
        <f t="shared" si="7"/>
        <v>168.45651428523581</v>
      </c>
    </row>
    <row r="414" spans="1:7" x14ac:dyDescent="0.2">
      <c r="A414">
        <f>A413+'Inputs &amp; Outputs'!$B$6</f>
        <v>10.354689386232028</v>
      </c>
      <c r="B414">
        <f>B413+C414*'Inputs &amp; Outputs'!$B$6</f>
        <v>-6.2426906394886421</v>
      </c>
      <c r="C414">
        <f>C413+D413*'Inputs &amp; Outputs'!$B$6</f>
        <v>2.6650337104601522</v>
      </c>
      <c r="D414">
        <f>(-'Inputs &amp; Outputs'!$B$4*B414)/'Inputs &amp; Outputs'!$B$5</f>
        <v>1.5606726598721605</v>
      </c>
      <c r="E414">
        <f>1/2*'Inputs &amp; Outputs'!$B$5*'Iterative Steps'!C414^2</f>
        <v>71.024046778890067</v>
      </c>
      <c r="F414">
        <f>1/2*'Inputs &amp; Outputs'!$B$4*'Iterative Steps'!B414^2</f>
        <v>97.42796605089778</v>
      </c>
      <c r="G414">
        <f t="shared" si="7"/>
        <v>168.45201282978786</v>
      </c>
    </row>
    <row r="415" spans="1:7" x14ac:dyDescent="0.2">
      <c r="A415">
        <f>A414+'Inputs &amp; Outputs'!$B$6</f>
        <v>10.379822127460747</v>
      </c>
      <c r="B415">
        <f>B414+C415*'Inputs &amp; Outputs'!$B$6</f>
        <v>-6.1747252306856737</v>
      </c>
      <c r="C415">
        <f>C414+D414*'Inputs &amp; Outputs'!$B$6</f>
        <v>2.7042576925634547</v>
      </c>
      <c r="D415">
        <f>(-'Inputs &amp; Outputs'!$B$4*B415)/'Inputs &amp; Outputs'!$B$5</f>
        <v>1.5436813076714184</v>
      </c>
      <c r="E415">
        <f>1/2*'Inputs &amp; Outputs'!$B$5*'Iterative Steps'!C415^2</f>
        <v>73.1300966778862</v>
      </c>
      <c r="F415">
        <f>1/2*'Inputs &amp; Outputs'!$B$4*'Iterative Steps'!B415^2</f>
        <v>95.318079186165619</v>
      </c>
      <c r="G415">
        <f t="shared" si="7"/>
        <v>168.44817586405182</v>
      </c>
    </row>
    <row r="416" spans="1:7" x14ac:dyDescent="0.2">
      <c r="A416">
        <f>A415+'Inputs &amp; Outputs'!$B$6</f>
        <v>10.404954868689465</v>
      </c>
      <c r="B416">
        <f>B415+C416*'Inputs &amp; Outputs'!$B$6</f>
        <v>-6.105784748357709</v>
      </c>
      <c r="C416">
        <f>C415+D415*'Inputs &amp; Outputs'!$B$6</f>
        <v>2.7430546354087699</v>
      </c>
      <c r="D416">
        <f>(-'Inputs &amp; Outputs'!$B$4*B416)/'Inputs &amp; Outputs'!$B$5</f>
        <v>1.5264461870894273</v>
      </c>
      <c r="E416">
        <f>1/2*'Inputs &amp; Outputs'!$B$5*'Iterative Steps'!C416^2</f>
        <v>75.243487328375394</v>
      </c>
      <c r="F416">
        <f>1/2*'Inputs &amp; Outputs'!$B$4*'Iterative Steps'!B416^2</f>
        <v>93.201518483194036</v>
      </c>
      <c r="G416">
        <f t="shared" si="7"/>
        <v>168.44500581156944</v>
      </c>
    </row>
    <row r="417" spans="1:7" x14ac:dyDescent="0.2">
      <c r="A417">
        <f>A416+'Inputs &amp; Outputs'!$B$6</f>
        <v>10.430087609918184</v>
      </c>
      <c r="B417">
        <f>B416+C417*'Inputs &amp; Outputs'!$B$6</f>
        <v>-6.0358800791493525</v>
      </c>
      <c r="C417">
        <f>C416+D416*'Inputs &amp; Outputs'!$B$6</f>
        <v>2.7814184124284522</v>
      </c>
      <c r="D417">
        <f>(-'Inputs &amp; Outputs'!$B$4*B417)/'Inputs &amp; Outputs'!$B$5</f>
        <v>1.5089700197873381</v>
      </c>
      <c r="E417">
        <f>1/2*'Inputs &amp; Outputs'!$B$5*'Iterative Steps'!C417^2</f>
        <v>77.362883849960113</v>
      </c>
      <c r="F417">
        <f>1/2*'Inputs &amp; Outputs'!$B$4*'Iterative Steps'!B417^2</f>
        <v>91.079620824679992</v>
      </c>
      <c r="G417">
        <f t="shared" si="7"/>
        <v>168.44250467464011</v>
      </c>
    </row>
    <row r="418" spans="1:7" x14ac:dyDescent="0.2">
      <c r="A418">
        <f>A417+'Inputs &amp; Outputs'!$B$6</f>
        <v>10.455220351146902</v>
      </c>
      <c r="B418">
        <f>B417+C418*'Inputs &amp; Outputs'!$B$6</f>
        <v>-5.9650222619634974</v>
      </c>
      <c r="C418">
        <f>C417+D417*'Inputs &amp; Outputs'!$B$6</f>
        <v>2.8193429654576616</v>
      </c>
      <c r="D418">
        <f>(-'Inputs &amp; Outputs'!$B$4*B418)/'Inputs &amp; Outputs'!$B$5</f>
        <v>1.4912555654908743</v>
      </c>
      <c r="E418">
        <f>1/2*'Inputs &amp; Outputs'!$B$5*'Iterative Steps'!C418^2</f>
        <v>79.486947568756008</v>
      </c>
      <c r="F418">
        <f>1/2*'Inputs &amp; Outputs'!$B$4*'Iterative Steps'!B418^2</f>
        <v>88.953726464300303</v>
      </c>
      <c r="G418">
        <f t="shared" si="7"/>
        <v>168.44067403305633</v>
      </c>
    </row>
    <row r="419" spans="1:7" x14ac:dyDescent="0.2">
      <c r="A419">
        <f>A418+'Inputs &amp; Outputs'!$B$6</f>
        <v>10.480353092375621</v>
      </c>
      <c r="B419">
        <f>B418+C419*'Inputs &amp; Outputs'!$B$6</f>
        <v>-5.8932224862181339</v>
      </c>
      <c r="C419">
        <f>C418+D418*'Inputs &amp; Outputs'!$B$6</f>
        <v>2.85682230569103</v>
      </c>
      <c r="D419">
        <f>(-'Inputs &amp; Outputs'!$B$4*B419)/'Inputs &amp; Outputs'!$B$5</f>
        <v>1.4733056215545335</v>
      </c>
      <c r="E419">
        <f>1/2*'Inputs &amp; Outputs'!$B$5*'Iterative Steps'!C419^2</f>
        <v>81.614336862938131</v>
      </c>
      <c r="F419">
        <f>1/2*'Inputs &amp; Outputs'!$B$4*'Iterative Steps'!B419^2</f>
        <v>86.825178180167612</v>
      </c>
      <c r="G419">
        <f t="shared" si="7"/>
        <v>168.43951504310576</v>
      </c>
    </row>
    <row r="420" spans="1:7" x14ac:dyDescent="0.2">
      <c r="A420">
        <f>A419+'Inputs &amp; Outputs'!$B$6</f>
        <v>10.50548583360434</v>
      </c>
      <c r="B420">
        <f>B419+C420*'Inputs &amp; Outputs'!$B$6</f>
        <v>-5.8204920900793855</v>
      </c>
      <c r="C420">
        <f>C419+D419*'Inputs &amp; Outputs'!$B$6</f>
        <v>2.8938505146283759</v>
      </c>
      <c r="D420">
        <f>(-'Inputs &amp; Outputs'!$B$4*B420)/'Inputs &amp; Outputs'!$B$5</f>
        <v>1.4551230225198464</v>
      </c>
      <c r="E420">
        <f>1/2*'Inputs &amp; Outputs'!$B$5*'Iterative Steps'!C420^2</f>
        <v>83.743708010149163</v>
      </c>
      <c r="F420">
        <f>1/2*'Inputs &amp; Outputs'!$B$4*'Iterative Steps'!B420^2</f>
        <v>84.695320426691737</v>
      </c>
      <c r="G420">
        <f t="shared" si="7"/>
        <v>168.43902843684089</v>
      </c>
    </row>
    <row r="421" spans="1:7" x14ac:dyDescent="0.2">
      <c r="A421">
        <f>A420+'Inputs &amp; Outputs'!$B$6</f>
        <v>10.530618574833058</v>
      </c>
      <c r="B421">
        <f>B420+C421*'Inputs &amp; Outputs'!$B$6</f>
        <v>-5.746842558671057</v>
      </c>
      <c r="C421">
        <f>C420+D420*'Inputs &amp; Outputs'!$B$6</f>
        <v>2.9304217450093177</v>
      </c>
      <c r="D421">
        <f>(-'Inputs &amp; Outputs'!$B$4*B421)/'Inputs &amp; Outputs'!$B$5</f>
        <v>1.4367106396677642</v>
      </c>
      <c r="E421">
        <f>1/2*'Inputs &amp; Outputs'!$B$5*'Iterative Steps'!C421^2</f>
        <v>85.873716036234541</v>
      </c>
      <c r="F421">
        <f>1/2*'Inputs &amp; Outputs'!$B$4*'Iterative Steps'!B421^2</f>
        <v>82.565498485382264</v>
      </c>
      <c r="G421">
        <f t="shared" si="7"/>
        <v>168.4392145216168</v>
      </c>
    </row>
    <row r="422" spans="1:7" x14ac:dyDescent="0.2">
      <c r="A422">
        <f>A421+'Inputs &amp; Outputs'!$B$6</f>
        <v>10.555751316061777</v>
      </c>
      <c r="B422">
        <f>B421+C422*'Inputs &amp; Outputs'!$B$6</f>
        <v>-5.672285522260978</v>
      </c>
      <c r="C422">
        <f>C421+D421*'Inputs &amp; Outputs'!$B$6</f>
        <v>2.9665302217366341</v>
      </c>
      <c r="D422">
        <f>(-'Inputs &amp; Outputs'!$B$4*B422)/'Inputs &amp; Outputs'!$B$5</f>
        <v>1.4180713805652445</v>
      </c>
      <c r="E422">
        <f>1/2*'Inputs &amp; Outputs'!$B$5*'Iterative Steps'!C422^2</f>
        <v>88.003015564768035</v>
      </c>
      <c r="F422">
        <f>1/2*'Inputs &amp; Outputs'!$B$4*'Iterative Steps'!B422^2</f>
        <v>80.437057615128737</v>
      </c>
      <c r="G422">
        <f t="shared" si="7"/>
        <v>168.44007317989679</v>
      </c>
    </row>
    <row r="423" spans="1:7" x14ac:dyDescent="0.2">
      <c r="A423">
        <f>A422+'Inputs &amp; Outputs'!$B$6</f>
        <v>10.580884057290495</v>
      </c>
      <c r="B423">
        <f>B422+C423*'Inputs &amp; Outputs'!$B$6</f>
        <v>-5.5968327544244225</v>
      </c>
      <c r="C423">
        <f>C422+D422*'Inputs &amp; Outputs'!$B$6</f>
        <v>3.0021702427882317</v>
      </c>
      <c r="D423">
        <f>(-'Inputs &amp; Outputs'!$B$4*B423)/'Inputs &amp; Outputs'!$B$5</f>
        <v>1.3992081886061056</v>
      </c>
      <c r="E423">
        <f>1/2*'Inputs &amp; Outputs'!$B$5*'Iterative Steps'!C423^2</f>
        <v>90.130261666831501</v>
      </c>
      <c r="F423">
        <f>1/2*'Inputs &amp; Outputs'!$B$4*'Iterative Steps'!B423^2</f>
        <v>78.311342202495169</v>
      </c>
      <c r="G423">
        <f t="shared" si="7"/>
        <v>168.44160386932668</v>
      </c>
    </row>
    <row r="424" spans="1:7" x14ac:dyDescent="0.2">
      <c r="A424">
        <f>A423+'Inputs &amp; Outputs'!$B$6</f>
        <v>10.606016798519214</v>
      </c>
      <c r="B424">
        <f>B423+C424*'Inputs &amp; Outputs'!$B$6</f>
        <v>-5.520496170184904</v>
      </c>
      <c r="C424">
        <f>C423+D423*'Inputs &amp; Outputs'!$B$6</f>
        <v>3.0373361801175727</v>
      </c>
      <c r="D424">
        <f>(-'Inputs &amp; Outputs'!$B$4*B424)/'Inputs &amp; Outputs'!$B$5</f>
        <v>1.380124042546226</v>
      </c>
      <c r="E424">
        <f>1/2*'Inputs &amp; Outputs'!$B$5*'Iterative Steps'!C424^2</f>
        <v>92.254110710512094</v>
      </c>
      <c r="F424">
        <f>1/2*'Inputs &amp; Outputs'!$B$4*'Iterative Steps'!B424^2</f>
        <v>76.189694912565486</v>
      </c>
      <c r="G424">
        <f t="shared" si="7"/>
        <v>168.44380562307759</v>
      </c>
    </row>
    <row r="425" spans="1:7" x14ac:dyDescent="0.2">
      <c r="A425">
        <f>A424+'Inputs &amp; Outputs'!$B$6</f>
        <v>10.631149539747932</v>
      </c>
      <c r="B425">
        <f>B424+C425*'Inputs &amp; Outputs'!$B$6</f>
        <v>-5.4432878241326259</v>
      </c>
      <c r="C425">
        <f>C424+D424*'Inputs &amp; Outputs'!$B$6</f>
        <v>3.0720224805424197</v>
      </c>
      <c r="D425">
        <f>(-'Inputs &amp; Outputs'!$B$4*B425)/'Inputs &amp; Outputs'!$B$5</f>
        <v>1.3608219560331565</v>
      </c>
      <c r="E425">
        <f>1/2*'Inputs &amp; Outputs'!$B$5*'Iterative Steps'!C425^2</f>
        <v>94.373221209580009</v>
      </c>
      <c r="F425">
        <f>1/2*'Inputs &amp; Outputs'!$B$4*'Iterative Steps'!B425^2</f>
        <v>74.073455840876235</v>
      </c>
      <c r="G425">
        <f t="shared" si="7"/>
        <v>168.44667705045623</v>
      </c>
    </row>
    <row r="426" spans="1:7" x14ac:dyDescent="0.2">
      <c r="A426">
        <f>A425+'Inputs &amp; Outputs'!$B$6</f>
        <v>10.656282280976651</v>
      </c>
      <c r="B426">
        <f>B425+C426*'Inputs &amp; Outputs'!$B$6</f>
        <v>-5.3652199085209009</v>
      </c>
      <c r="C426">
        <f>C425+D425*'Inputs &amp; Outputs'!$B$6</f>
        <v>3.1062236666217595</v>
      </c>
      <c r="D426">
        <f>(-'Inputs &amp; Outputs'!$B$4*B426)/'Inputs &amp; Outputs'!$B$5</f>
        <v>1.3413049771302252</v>
      </c>
      <c r="E426">
        <f>1/2*'Inputs &amp; Outputs'!$B$5*'Iterative Steps'!C426^2</f>
        <v>96.486254670811292</v>
      </c>
      <c r="F426">
        <f>1/2*'Inputs &amp; Outputs'!$B$4*'Iterative Steps'!B426^2</f>
        <v>71.963961666972565</v>
      </c>
      <c r="G426">
        <f t="shared" si="7"/>
        <v>168.45021633778384</v>
      </c>
    </row>
    <row r="427" spans="1:7" x14ac:dyDescent="0.2">
      <c r="A427">
        <f>A426+'Inputs &amp; Outputs'!$B$6</f>
        <v>10.681415022205369</v>
      </c>
      <c r="B427">
        <f>B426+C427*'Inputs &amp; Outputs'!$B$6</f>
        <v>-5.2863047513408246</v>
      </c>
      <c r="C427">
        <f>C426+D426*'Inputs &amp; Outputs'!$B$6</f>
        <v>3.1399343375207653</v>
      </c>
      <c r="D427">
        <f>(-'Inputs &amp; Outputs'!$B$4*B427)/'Inputs &amp; Outputs'!$B$5</f>
        <v>1.3215761878352061</v>
      </c>
      <c r="E427">
        <f>1/2*'Inputs &amp; Outputs'!$B$5*'Iterative Steps'!C427^2</f>
        <v>98.591876439419664</v>
      </c>
      <c r="F427">
        <f>1/2*'Inputs &amp; Outputs'!$B$4*'Iterative Steps'!B427^2</f>
        <v>69.862544810121449</v>
      </c>
      <c r="G427">
        <f t="shared" si="7"/>
        <v>168.4544212495411</v>
      </c>
    </row>
    <row r="428" spans="1:7" x14ac:dyDescent="0.2">
      <c r="A428">
        <f>A427+'Inputs &amp; Outputs'!$B$6</f>
        <v>10.706547763434088</v>
      </c>
      <c r="B428">
        <f>B427+C428*'Inputs &amp; Outputs'!$B$6</f>
        <v>-5.2065548143745186</v>
      </c>
      <c r="C428">
        <f>C427+D427*'Inputs &amp; Outputs'!$B$6</f>
        <v>3.1731491698636636</v>
      </c>
      <c r="D428">
        <f>(-'Inputs &amp; Outputs'!$B$4*B428)/'Inputs &amp; Outputs'!$B$5</f>
        <v>1.3016387035936297</v>
      </c>
      <c r="E428">
        <f>1/2*'Inputs &amp; Outputs'!$B$5*'Iterative Steps'!C428^2</f>
        <v>100.68875654206458</v>
      </c>
      <c r="F428">
        <f>1/2*'Inputs &amp; Outputs'!$B$4*'Iterative Steps'!B428^2</f>
        <v>67.77053258771619</v>
      </c>
      <c r="G428">
        <f t="shared" si="7"/>
        <v>168.45928912978076</v>
      </c>
    </row>
    <row r="429" spans="1:7" x14ac:dyDescent="0.2">
      <c r="A429">
        <f>A428+'Inputs &amp; Outputs'!$B$6</f>
        <v>10.731680504662807</v>
      </c>
      <c r="B429">
        <f>B428+C429*'Inputs &amp; Outputs'!$B$6</f>
        <v>-5.1259826912272457</v>
      </c>
      <c r="C429">
        <f>C428+D428*'Inputs &amp; Outputs'!$B$6</f>
        <v>3.2058629185743666</v>
      </c>
      <c r="D429">
        <f>(-'Inputs &amp; Outputs'!$B$4*B429)/'Inputs &amp; Outputs'!$B$5</f>
        <v>1.2814956728068114</v>
      </c>
      <c r="E429">
        <f>1/2*'Inputs &amp; Outputs'!$B$5*'Iterative Steps'!C429^2</f>
        <v>102.77557052690156</v>
      </c>
      <c r="F429">
        <f>1/2*'Inputs &amp; Outputs'!$B$4*'Iterative Steps'!B429^2</f>
        <v>65.689246376903284</v>
      </c>
      <c r="G429">
        <f t="shared" si="7"/>
        <v>168.46481690380483</v>
      </c>
    </row>
    <row r="430" spans="1:7" x14ac:dyDescent="0.2">
      <c r="A430">
        <f>A429+'Inputs &amp; Outputs'!$B$6</f>
        <v>10.756813245891525</v>
      </c>
      <c r="B430">
        <f>B429+C430*'Inputs &amp; Outputs'!$B$6</f>
        <v>-5.0446011053387041</v>
      </c>
      <c r="C430">
        <f>C429+D429*'Inputs &amp; Outputs'!$B$6</f>
        <v>3.2380704177047424</v>
      </c>
      <c r="D430">
        <f>(-'Inputs &amp; Outputs'!$B$4*B430)/'Inputs &amp; Outputs'!$B$5</f>
        <v>1.261150276334676</v>
      </c>
      <c r="E430">
        <f>1/2*'Inputs &amp; Outputs'!$B$5*'Iterative Steps'!C430^2</f>
        <v>104.85100030014564</v>
      </c>
      <c r="F430">
        <f>1/2*'Inputs &amp; Outputs'!$B$4*'Iterative Steps'!B430^2</f>
        <v>63.620000779961188</v>
      </c>
      <c r="G430">
        <f t="shared" si="7"/>
        <v>168.47100108010682</v>
      </c>
    </row>
    <row r="431" spans="1:7" x14ac:dyDescent="0.2">
      <c r="A431">
        <f>A430+'Inputs &amp; Outputs'!$B$6</f>
        <v>10.781945987120244</v>
      </c>
      <c r="B431">
        <f>B430+C431*'Inputs &amp; Outputs'!$B$6</f>
        <v>-4.9624229079738269</v>
      </c>
      <c r="C431">
        <f>C430+D430*'Inputs &amp; Outputs'!$B$6</f>
        <v>3.2697665812503884</v>
      </c>
      <c r="D431">
        <f>(-'Inputs &amp; Outputs'!$B$4*B431)/'Inputs &amp; Outputs'!$B$5</f>
        <v>1.2406057269934567</v>
      </c>
      <c r="E431">
        <f>1/2*'Inputs &amp; Outputs'!$B$5*'Iterative Steps'!C431^2</f>
        <v>106.91373495861853</v>
      </c>
      <c r="F431">
        <f>1/2*'Inputs &amp; Outputs'!$B$4*'Iterative Steps'!B431^2</f>
        <v>61.564102793958533</v>
      </c>
      <c r="G431">
        <f t="shared" si="7"/>
        <v>168.47783775257707</v>
      </c>
    </row>
    <row r="432" spans="1:7" x14ac:dyDescent="0.2">
      <c r="A432">
        <f>A431+'Inputs &amp; Outputs'!$B$6</f>
        <v>10.807078728348962</v>
      </c>
      <c r="B432">
        <f>B431+C432*'Inputs &amp; Outputs'!$B$6</f>
        <v>-4.8794610761933885</v>
      </c>
      <c r="C432">
        <f>C431+D431*'Inputs &amp; Outputs'!$B$6</f>
        <v>3.3009464039537808</v>
      </c>
      <c r="D432">
        <f>(-'Inputs &amp; Outputs'!$B$4*B432)/'Inputs &amp; Outputs'!$B$5</f>
        <v>1.2198652690483471</v>
      </c>
      <c r="E432">
        <f>1/2*'Inputs &amp; Outputs'!$B$5*'Iterative Steps'!C432^2</f>
        <v>108.96247161775398</v>
      </c>
      <c r="F432">
        <f>1/2*'Inputs &amp; Outputs'!$B$4*'Iterative Steps'!B432^2</f>
        <v>59.522850985215854</v>
      </c>
      <c r="G432">
        <f t="shared" si="7"/>
        <v>168.48532260296983</v>
      </c>
    </row>
    <row r="433" spans="1:7" x14ac:dyDescent="0.2">
      <c r="A433">
        <f>A432+'Inputs &amp; Outputs'!$B$6</f>
        <v>10.832211469577681</v>
      </c>
      <c r="B433">
        <f>B432+C433*'Inputs &amp; Outputs'!$B$6</f>
        <v>-4.7957287108047488</v>
      </c>
      <c r="C433">
        <f>C432+D432*'Inputs &amp; Outputs'!$B$6</f>
        <v>3.3316049620946737</v>
      </c>
      <c r="D433">
        <f>(-'Inputs &amp; Outputs'!$B$4*B433)/'Inputs &amp; Outputs'!$B$5</f>
        <v>1.1989321777011872</v>
      </c>
      <c r="E433">
        <f>1/2*'Inputs &amp; Outputs'!$B$5*'Iterative Steps'!C433^2</f>
        <v>110.99591623453853</v>
      </c>
      <c r="F433">
        <f>1/2*'Inputs &amp; Outputs'!$B$4*'Iterative Steps'!B433^2</f>
        <v>57.497534669092445</v>
      </c>
      <c r="G433">
        <f t="shared" si="7"/>
        <v>168.49345090363096</v>
      </c>
    </row>
    <row r="434" spans="1:7" x14ac:dyDescent="0.2">
      <c r="A434">
        <f>A433+'Inputs &amp; Outputs'!$B$6</f>
        <v>10.857344210806399</v>
      </c>
      <c r="B434">
        <f>B433+C434*'Inputs &amp; Outputs'!$B$6</f>
        <v>-4.7112390342930599</v>
      </c>
      <c r="C434">
        <f>C433+D433*'Inputs &amp; Outputs'!$B$6</f>
        <v>3.3617374142676213</v>
      </c>
      <c r="D434">
        <f>(-'Inputs &amp; Outputs'!$B$4*B434)/'Inputs &amp; Outputs'!$B$5</f>
        <v>1.177809758573265</v>
      </c>
      <c r="E434">
        <f>1/2*'Inputs &amp; Outputs'!$B$5*'Iterative Steps'!C434^2</f>
        <v>113.01278442486753</v>
      </c>
      <c r="F434">
        <f>1/2*'Inputs &amp; Outputs'!$B$4*'Iterative Steps'!B434^2</f>
        <v>55.489433095616505</v>
      </c>
      <c r="G434">
        <f t="shared" si="7"/>
        <v>168.50221752048404</v>
      </c>
    </row>
    <row r="435" spans="1:7" x14ac:dyDescent="0.2">
      <c r="A435">
        <f>A434+'Inputs &amp; Outputs'!$B$6</f>
        <v>10.882476952035118</v>
      </c>
      <c r="B435">
        <f>B434+C435*'Inputs &amp; Outputs'!$B$6</f>
        <v>-4.626005388733252</v>
      </c>
      <c r="C435">
        <f>C434+D434*'Inputs &amp; Outputs'!$B$6</f>
        <v>3.3913390021465024</v>
      </c>
      <c r="D435">
        <f>(-'Inputs &amp; Outputs'!$B$4*B435)/'Inputs &amp; Outputs'!$B$5</f>
        <v>1.156501347183313</v>
      </c>
      <c r="E435">
        <f>1/2*'Inputs &amp; Outputs'!$B$5*'Iterative Steps'!C435^2</f>
        <v>115.01180227480035</v>
      </c>
      <c r="F435">
        <f>1/2*'Inputs &amp; Outputs'!$B$4*'Iterative Steps'!B435^2</f>
        <v>53.49981464147271</v>
      </c>
      <c r="G435">
        <f t="shared" si="7"/>
        <v>168.51161691627306</v>
      </c>
    </row>
    <row r="436" spans="1:7" x14ac:dyDescent="0.2">
      <c r="A436">
        <f>A435+'Inputs &amp; Outputs'!$B$6</f>
        <v>10.907609693263836</v>
      </c>
      <c r="B436">
        <f>B435+C436*'Inputs &amp; Outputs'!$B$6</f>
        <v>-4.5400412336831382</v>
      </c>
      <c r="C436">
        <f>C435+D435*'Inputs &amp; Outputs'!$B$6</f>
        <v>3.420405051235925</v>
      </c>
      <c r="D436">
        <f>(-'Inputs &amp; Outputs'!$B$4*B436)/'Inputs &amp; Outputs'!$B$5</f>
        <v>1.1350103084207845</v>
      </c>
      <c r="E436">
        <f>1/2*'Inputs &amp; Outputs'!$B$5*'Iterative Steps'!C436^2</f>
        <v>116.9917071452023</v>
      </c>
      <c r="F436">
        <f>1/2*'Inputs &amp; Outputs'!$B$4*'Iterative Steps'!B436^2</f>
        <v>51.529936008857781</v>
      </c>
      <c r="G436">
        <f t="shared" si="7"/>
        <v>168.52164315406009</v>
      </c>
    </row>
    <row r="437" spans="1:7" x14ac:dyDescent="0.2">
      <c r="A437">
        <f>A436+'Inputs &amp; Outputs'!$B$6</f>
        <v>10.932742434492555</v>
      </c>
      <c r="B437">
        <f>B436+C437*'Inputs &amp; Outputs'!$B$6</f>
        <v>-4.4533601440579673</v>
      </c>
      <c r="C437">
        <f>C436+D436*'Inputs &amp; Outputs'!$B$6</f>
        <v>3.4489309716093923</v>
      </c>
      <c r="D437">
        <f>(-'Inputs &amp; Outputs'!$B$4*B437)/'Inputs &amp; Outputs'!$B$5</f>
        <v>1.1133400360144918</v>
      </c>
      <c r="E437">
        <f>1/2*'Inputs &amp; Outputs'!$B$5*'Iterative Steps'!C437^2</f>
        <v>118.95124846926507</v>
      </c>
      <c r="F437">
        <f>1/2*'Inputs &amp; Outputs'!$B$4*'Iterative Steps'!B437^2</f>
        <v>49.581041431709998</v>
      </c>
      <c r="G437">
        <f t="shared" si="7"/>
        <v>168.53228990097506</v>
      </c>
    </row>
    <row r="438" spans="1:7" x14ac:dyDescent="0.2">
      <c r="A438">
        <f>A437+'Inputs &amp; Outputs'!$B$6</f>
        <v>10.957875175721274</v>
      </c>
      <c r="B438">
        <f>B437+C438*'Inputs &amp; Outputs'!$B$6</f>
        <v>-4.3659758079867572</v>
      </c>
      <c r="C438">
        <f>C437+D437*'Inputs &amp; Outputs'!$B$6</f>
        <v>3.4769122586341163</v>
      </c>
      <c r="D438">
        <f>(-'Inputs &amp; Outputs'!$B$4*B438)/'Inputs &amp; Outputs'!$B$5</f>
        <v>1.0914939519966893</v>
      </c>
      <c r="E438">
        <f>1/2*'Inputs &amp; Outputs'!$B$5*'Iterative Steps'!C438^2</f>
        <v>120.88918854240193</v>
      </c>
      <c r="F438">
        <f>1/2*'Inputs &amp; Outputs'!$B$4*'Iterative Steps'!B438^2</f>
        <v>47.654361889814041</v>
      </c>
      <c r="G438">
        <f t="shared" si="7"/>
        <v>168.54355043221597</v>
      </c>
    </row>
    <row r="439" spans="1:7" x14ac:dyDescent="0.2">
      <c r="A439">
        <f>A438+'Inputs &amp; Outputs'!$B$6</f>
        <v>10.983007916949992</v>
      </c>
      <c r="B439">
        <f>B438+C439*'Inputs &amp; Outputs'!$B$6</f>
        <v>-4.2779020246507544</v>
      </c>
      <c r="C439">
        <f>C438+D438*'Inputs &amp; Outputs'!$B$6</f>
        <v>3.5043444936823605</v>
      </c>
      <c r="D439">
        <f>(-'Inputs &amp; Outputs'!$B$4*B439)/'Inputs &amp; Outputs'!$B$5</f>
        <v>1.0694755061626886</v>
      </c>
      <c r="E439">
        <f>1/2*'Inputs &amp; Outputs'!$B$5*'Iterative Steps'!C439^2</f>
        <v>122.80430330401879</v>
      </c>
      <c r="F439">
        <f>1/2*'Inputs &amp; Outputs'!$B$4*'Iterative Steps'!B439^2</f>
        <v>45.751114331277556</v>
      </c>
      <c r="G439">
        <f t="shared" si="7"/>
        <v>168.55541763529635</v>
      </c>
    </row>
    <row r="440" spans="1:7" x14ac:dyDescent="0.2">
      <c r="A440">
        <f>A439+'Inputs &amp; Outputs'!$B$6</f>
        <v>11.008140658178711</v>
      </c>
      <c r="B440">
        <f>B439+C440*'Inputs &amp; Outputs'!$B$6</f>
        <v>-4.1891527021043533</v>
      </c>
      <c r="C440">
        <f>C439+D439*'Inputs &amp; Outputs'!$B$6</f>
        <v>3.5312233448292001</v>
      </c>
      <c r="D440">
        <f>(-'Inputs &amp; Outputs'!$B$4*B440)/'Inputs &amp; Outputs'!$B$5</f>
        <v>1.0472881755260883</v>
      </c>
      <c r="E440">
        <f>1/2*'Inputs &amp; Outputs'!$B$5*'Iterative Steps'!C440^2</f>
        <v>124.69538311066725</v>
      </c>
      <c r="F440">
        <f>1/2*'Inputs &amp; Outputs'!$B$4*'Iterative Steps'!B440^2</f>
        <v>43.872500903870517</v>
      </c>
      <c r="G440">
        <f t="shared" si="7"/>
        <v>168.56788401453775</v>
      </c>
    </row>
    <row r="441" spans="1:7" x14ac:dyDescent="0.2">
      <c r="A441">
        <f>A440+'Inputs &amp; Outputs'!$B$6</f>
        <v>11.033273399407429</v>
      </c>
      <c r="B441">
        <f>B440+C441*'Inputs &amp; Outputs'!$B$6</f>
        <v>-4.0997418550788236</v>
      </c>
      <c r="C441">
        <f>C440+D440*'Inputs &amp; Outputs'!$B$6</f>
        <v>3.5575445675365938</v>
      </c>
      <c r="D441">
        <f>(-'Inputs &amp; Outputs'!$B$4*B441)/'Inputs &amp; Outputs'!$B$5</f>
        <v>1.0249354637697059</v>
      </c>
      <c r="E441">
        <f>1/2*'Inputs &amp; Outputs'!$B$5*'Iterative Steps'!C441^2</f>
        <v>126.5612335000913</v>
      </c>
      <c r="F441">
        <f>1/2*'Inputs &amp; Outputs'!$B$4*'Iterative Steps'!B441^2</f>
        <v>42.01970819571288</v>
      </c>
      <c r="G441">
        <f t="shared" si="7"/>
        <v>168.5809416958042</v>
      </c>
    </row>
    <row r="442" spans="1:7" x14ac:dyDescent="0.2">
      <c r="A442">
        <f>A441+'Inputs &amp; Outputs'!$B$6</f>
        <v>11.058406140636148</v>
      </c>
      <c r="B442">
        <f>B441+C442*'Inputs &amp; Outputs'!$B$6</f>
        <v>-4.0096836027691944</v>
      </c>
      <c r="C442">
        <f>C441+D441*'Inputs &amp; Outputs'!$B$6</f>
        <v>3.583304005323654</v>
      </c>
      <c r="D442">
        <f>(-'Inputs &amp; Outputs'!$B$4*B442)/'Inputs &amp; Outputs'!$B$5</f>
        <v>1.0024209006922986</v>
      </c>
      <c r="E442">
        <f>1/2*'Inputs &amp; Outputs'!$B$5*'Iterative Steps'!C442^2</f>
        <v>128.40067594568541</v>
      </c>
      <c r="F442">
        <f>1/2*'Inputs &amp; Outputs'!$B$4*'Iterative Steps'!B442^2</f>
        <v>40.193906485790372</v>
      </c>
      <c r="G442">
        <f t="shared" si="7"/>
        <v>168.59458243147577</v>
      </c>
    </row>
    <row r="443" spans="1:7" x14ac:dyDescent="0.2">
      <c r="A443">
        <f>A442+'Inputs &amp; Outputs'!$B$6</f>
        <v>11.083538881864866</v>
      </c>
      <c r="B443">
        <f>B442+C443*'Inputs &amp; Outputs'!$B$6</f>
        <v>-3.9189921666046392</v>
      </c>
      <c r="C443">
        <f>C442+D442*'Inputs &amp; Outputs'!$B$6</f>
        <v>3.6084975904230121</v>
      </c>
      <c r="D443">
        <f>(-'Inputs &amp; Outputs'!$B$4*B443)/'Inputs &amp; Outputs'!$B$5</f>
        <v>0.97974804165115992</v>
      </c>
      <c r="E443">
        <f>1/2*'Inputs &amp; Outputs'!$B$5*'Iterative Steps'!C443^2</f>
        <v>130.21254860088683</v>
      </c>
      <c r="F443">
        <f>1/2*'Inputs &amp; Outputs'!$B$4*'Iterative Steps'!B443^2</f>
        <v>38.396249004771313</v>
      </c>
      <c r="G443">
        <f t="shared" si="7"/>
        <v>168.60879760565814</v>
      </c>
    </row>
    <row r="444" spans="1:7" x14ac:dyDescent="0.2">
      <c r="A444">
        <f>A443+'Inputs &amp; Outputs'!$B$6</f>
        <v>11.108671623093585</v>
      </c>
      <c r="B444">
        <f>B443+C444*'Inputs &amp; Outputs'!$B$6</f>
        <v>-3.8276818680027183</v>
      </c>
      <c r="C444">
        <f>C443+D443*'Inputs &amp; Outputs'!$B$6</f>
        <v>3.6331213444231745</v>
      </c>
      <c r="D444">
        <f>(-'Inputs &amp; Outputs'!$B$4*B444)/'Inputs &amp; Outputs'!$B$5</f>
        <v>0.95692046700067956</v>
      </c>
      <c r="E444">
        <f>1/2*'Inputs &amp; Outputs'!$B$5*'Iterative Steps'!C444^2</f>
        <v>131.99570703303255</v>
      </c>
      <c r="F444">
        <f>1/2*'Inputs &amp; Outputs'!$B$4*'Iterative Steps'!B444^2</f>
        <v>36.627871206591948</v>
      </c>
      <c r="G444">
        <f t="shared" si="7"/>
        <v>168.62357823962449</v>
      </c>
    </row>
    <row r="445" spans="1:7" x14ac:dyDescent="0.2">
      <c r="A445">
        <f>A444+'Inputs &amp; Outputs'!$B$6</f>
        <v>11.133804364322303</v>
      </c>
      <c r="B445">
        <f>B444+C445*'Inputs &amp; Outputs'!$B$6</f>
        <v>-3.7357671261078309</v>
      </c>
      <c r="C445">
        <f>C444+D444*'Inputs &amp; Outputs'!$B$6</f>
        <v>3.6571713788967668</v>
      </c>
      <c r="D445">
        <f>(-'Inputs &amp; Outputs'!$B$4*B445)/'Inputs &amp; Outputs'!$B$5</f>
        <v>0.93394178152695773</v>
      </c>
      <c r="E445">
        <f>1/2*'Inputs &amp; Outputs'!$B$5*'Iterative Steps'!C445^2</f>
        <v>133.74902494621679</v>
      </c>
      <c r="F445">
        <f>1/2*'Inputs &amp; Outputs'!$B$4*'Iterative Steps'!B445^2</f>
        <v>34.889890051269902</v>
      </c>
      <c r="G445">
        <f t="shared" si="7"/>
        <v>168.63891499748669</v>
      </c>
    </row>
    <row r="446" spans="1:7" x14ac:dyDescent="0.2">
      <c r="A446">
        <f>A445+'Inputs &amp; Outputs'!$B$6</f>
        <v>11.158937105551022</v>
      </c>
      <c r="B446">
        <f>B445+C446*'Inputs &amp; Outputs'!$B$6</f>
        <v>-3.6432624555142348</v>
      </c>
      <c r="C446">
        <f>C445+D445*'Inputs &amp; Outputs'!$B$6</f>
        <v>3.6806438960145722</v>
      </c>
      <c r="D446">
        <f>(-'Inputs &amp; Outputs'!$B$4*B446)/'Inputs &amp; Outputs'!$B$5</f>
        <v>0.91081561387855869</v>
      </c>
      <c r="E446">
        <f>1/2*'Inputs &amp; Outputs'!$B$5*'Iterative Steps'!C446^2</f>
        <v>135.4713948926933</v>
      </c>
      <c r="F446">
        <f>1/2*'Inputs &amp; Outputs'!$B$4*'Iterative Steps'!B446^2</f>
        <v>33.183403299399032</v>
      </c>
      <c r="G446">
        <f t="shared" si="7"/>
        <v>168.65479819209233</v>
      </c>
    </row>
    <row r="447" spans="1:7" x14ac:dyDescent="0.2">
      <c r="A447">
        <f>A446+'Inputs &amp; Outputs'!$B$6</f>
        <v>11.184069846779741</v>
      </c>
      <c r="B447">
        <f>B446+C447*'Inputs &amp; Outputs'!$B$6</f>
        <v>-3.5501824639739947</v>
      </c>
      <c r="C447">
        <f>C446+D446*'Inputs &amp; Outputs'!$B$6</f>
        <v>3.7035351891452581</v>
      </c>
      <c r="D447">
        <f>(-'Inputs &amp; Outputs'!$B$4*B447)/'Inputs &amp; Outputs'!$B$5</f>
        <v>0.88754561599349879</v>
      </c>
      <c r="E447">
        <f>1/2*'Inputs &amp; Outputs'!$B$5*'Iterative Steps'!C447^2</f>
        <v>137.16172897237203</v>
      </c>
      <c r="F447">
        <f>1/2*'Inputs &amp; Outputs'!$B$4*'Iterative Steps'!B447^2</f>
        <v>31.509488818771164</v>
      </c>
      <c r="G447">
        <f t="shared" si="7"/>
        <v>168.67121779114319</v>
      </c>
    </row>
    <row r="448" spans="1:7" x14ac:dyDescent="0.2">
      <c r="A448">
        <f>A447+'Inputs &amp; Outputs'!$B$6</f>
        <v>11.209202588008459</v>
      </c>
      <c r="B448">
        <f>B447+C448*'Inputs &amp; Outputs'!$B$6</f>
        <v>-3.456541850090217</v>
      </c>
      <c r="C448">
        <f>C447+D447*'Inputs &amp; Outputs'!$B$6</f>
        <v>3.725841643440706</v>
      </c>
      <c r="D448">
        <f>(-'Inputs &amp; Outputs'!$B$4*B448)/'Inputs &amp; Outputs'!$B$5</f>
        <v>0.86413546252255424</v>
      </c>
      <c r="E448">
        <f>1/2*'Inputs &amp; Outputs'!$B$5*'Iterative Steps'!C448^2</f>
        <v>138.81895951996941</v>
      </c>
      <c r="F448">
        <f>1/2*'Inputs &amp; Outputs'!$B$4*'Iterative Steps'!B448^2</f>
        <v>29.869203903562749</v>
      </c>
      <c r="G448">
        <f t="shared" si="7"/>
        <v>168.68816342353216</v>
      </c>
    </row>
    <row r="449" spans="1:7" x14ac:dyDescent="0.2">
      <c r="A449">
        <f>A448+'Inputs &amp; Outputs'!$B$6</f>
        <v>11.234335329237178</v>
      </c>
      <c r="B449">
        <f>B448+C449*'Inputs &amp; Outputs'!$B$6</f>
        <v>-3.36235540099594</v>
      </c>
      <c r="C449">
        <f>C448+D448*'Inputs &amp; Outputs'!$B$6</f>
        <v>3.7475597364068443</v>
      </c>
      <c r="D449">
        <f>(-'Inputs &amp; Outputs'!$B$4*B449)/'Inputs &amp; Outputs'!$B$5</f>
        <v>0.840588850248985</v>
      </c>
      <c r="E449">
        <f>1/2*'Inputs &amp; Outputs'!$B$5*'Iterative Steps'!C449^2</f>
        <v>140.44203977937735</v>
      </c>
      <c r="F449">
        <f>1/2*'Inputs &amp; Outputs'!$B$4*'Iterative Steps'!B449^2</f>
        <v>28.263584606516421</v>
      </c>
      <c r="G449">
        <f t="shared" si="7"/>
        <v>168.70562438589377</v>
      </c>
    </row>
    <row r="450" spans="1:7" x14ac:dyDescent="0.2">
      <c r="A450">
        <f>A449+'Inputs &amp; Outputs'!$B$6</f>
        <v>11.259468070465896</v>
      </c>
      <c r="B450">
        <f>B449+C450*'Inputs &amp; Outputs'!$B$6</f>
        <v>-3.2676379900190438</v>
      </c>
      <c r="C450">
        <f>C449+D449*'Inputs &amp; Outputs'!$B$6</f>
        <v>3.7686860384598977</v>
      </c>
      <c r="D450">
        <f>(-'Inputs &amp; Outputs'!$B$4*B450)/'Inputs &amp; Outputs'!$B$5</f>
        <v>0.81690949750476105</v>
      </c>
      <c r="E450">
        <f>1/2*'Inputs &amp; Outputs'!$B$5*'Iterative Steps'!C450^2</f>
        <v>142.02994456482557</v>
      </c>
      <c r="F450">
        <f>1/2*'Inputs &amp; Outputs'!$B$4*'Iterative Steps'!B450^2</f>
        <v>26.693645084539241</v>
      </c>
      <c r="G450">
        <f t="shared" si="7"/>
        <v>168.72358964936481</v>
      </c>
    </row>
    <row r="451" spans="1:7" x14ac:dyDescent="0.2">
      <c r="A451">
        <f>A450+'Inputs &amp; Outputs'!$B$6</f>
        <v>11.284600811694615</v>
      </c>
      <c r="B451">
        <f>B450+C451*'Inputs &amp; Outputs'!$B$6</f>
        <v>-3.1724045743335481</v>
      </c>
      <c r="C451">
        <f>C450+D450*'Inputs &amp; Outputs'!$B$6</f>
        <v>3.7892172134679671</v>
      </c>
      <c r="D451">
        <f>(-'Inputs &amp; Outputs'!$B$4*B451)/'Inputs &amp; Outputs'!$B$5</f>
        <v>0.79310114358338701</v>
      </c>
      <c r="E451">
        <f>1/2*'Inputs &amp; Outputs'!$B$5*'Iterative Steps'!C451^2</f>
        <v>143.58167090841945</v>
      </c>
      <c r="F451">
        <f>1/2*'Inputs &amp; Outputs'!$B$4*'Iterative Steps'!B451^2</f>
        <v>25.160376958131053</v>
      </c>
      <c r="G451">
        <f t="shared" ref="G451:G501" si="8">SUM(E451:F451)</f>
        <v>168.74204786655051</v>
      </c>
    </row>
    <row r="452" spans="1:7" x14ac:dyDescent="0.2">
      <c r="A452">
        <f>A451+'Inputs &amp; Outputs'!$B$6</f>
        <v>11.309733552923333</v>
      </c>
      <c r="B452">
        <f>B451+C452*'Inputs &amp; Outputs'!$B$6</f>
        <v>-3.0766701925976703</v>
      </c>
      <c r="C452">
        <f>C451+D451*'Inputs &amp; Outputs'!$B$6</f>
        <v>3.8091500192778489</v>
      </c>
      <c r="D452">
        <f>(-'Inputs &amp; Outputs'!$B$4*B452)/'Inputs &amp; Outputs'!$B$5</f>
        <v>0.76916754814941757</v>
      </c>
      <c r="E452">
        <f>1/2*'Inputs &amp; Outputs'!$B$5*'Iterative Steps'!C452^2</f>
        <v>145.09623869364435</v>
      </c>
      <c r="F452">
        <f>1/2*'Inputs &amp; Outputs'!$B$4*'Iterative Steps'!B452^2</f>
        <v>23.664748685047464</v>
      </c>
      <c r="G452">
        <f t="shared" si="8"/>
        <v>168.76098737869182</v>
      </c>
    </row>
    <row r="453" spans="1:7" x14ac:dyDescent="0.2">
      <c r="A453">
        <f>A452+'Inputs &amp; Outputs'!$B$6</f>
        <v>11.334866294152052</v>
      </c>
      <c r="B453">
        <f>B452+C453*'Inputs &amp; Outputs'!$B$6</f>
        <v>-2.9804499625790157</v>
      </c>
      <c r="C453">
        <f>C452+D452*'Inputs &amp; Outputs'!$B$6</f>
        <v>3.8284813082270159</v>
      </c>
      <c r="D453">
        <f>(-'Inputs &amp; Outputs'!$B$4*B453)/'Inputs &amp; Outputs'!$B$5</f>
        <v>0.74511249064475393</v>
      </c>
      <c r="E453">
        <f>1/2*'Inputs &amp; Outputs'!$B$5*'Iterative Steps'!C453^2</f>
        <v>146.57269127443644</v>
      </c>
      <c r="F453">
        <f>1/2*'Inputs &amp; Outputs'!$B$4*'Iterative Steps'!B453^2</f>
        <v>22.20770494859314</v>
      </c>
      <c r="G453">
        <f t="shared" si="8"/>
        <v>168.78039622302958</v>
      </c>
    </row>
    <row r="454" spans="1:7" x14ac:dyDescent="0.2">
      <c r="A454">
        <f>A453+'Inputs &amp; Outputs'!$B$6</f>
        <v>11.35999903538077</v>
      </c>
      <c r="B454">
        <f>B453+C454*'Inputs &amp; Outputs'!$B$6</f>
        <v>-2.8837590787672749</v>
      </c>
      <c r="C454">
        <f>C453+D453*'Inputs &amp; Outputs'!$B$6</f>
        <v>3.8472080276406762</v>
      </c>
      <c r="D454">
        <f>(-'Inputs &amp; Outputs'!$B$4*B454)/'Inputs &amp; Outputs'!$B$5</f>
        <v>0.72093976969181872</v>
      </c>
      <c r="E454">
        <f>1/2*'Inputs &amp; Outputs'!$B$5*'Iterative Steps'!C454^2</f>
        <v>148.01009607942862</v>
      </c>
      <c r="F454">
        <f>1/2*'Inputs &amp; Outputs'!$B$4*'Iterative Steps'!B454^2</f>
        <v>20.790166060931703</v>
      </c>
      <c r="G454">
        <f t="shared" si="8"/>
        <v>168.80026214036033</v>
      </c>
    </row>
    <row r="455" spans="1:7" x14ac:dyDescent="0.2">
      <c r="A455">
        <f>A454+'Inputs &amp; Outputs'!$B$6</f>
        <v>11.385131776609489</v>
      </c>
      <c r="B455">
        <f>B454+C455*'Inputs &amp; Outputs'!$B$6</f>
        <v>-2.7866128099748062</v>
      </c>
      <c r="C455">
        <f>C454+D454*'Inputs &amp; Outputs'!$B$6</f>
        <v>3.8653272203138322</v>
      </c>
      <c r="D455">
        <f>(-'Inputs &amp; Outputs'!$B$4*B455)/'Inputs &amp; Outputs'!$B$5</f>
        <v>0.69665320249370155</v>
      </c>
      <c r="E455">
        <f>1/2*'Inputs &amp; Outputs'!$B$5*'Iterative Steps'!C455^2</f>
        <v>149.40754520099057</v>
      </c>
      <c r="F455">
        <f>1/2*'Inputs &amp; Outputs'!$B$4*'Iterative Steps'!B455^2</f>
        <v>19.413027381789213</v>
      </c>
      <c r="G455">
        <f t="shared" si="8"/>
        <v>168.82057258277979</v>
      </c>
    </row>
    <row r="456" spans="1:7" x14ac:dyDescent="0.2">
      <c r="A456">
        <f>A455+'Inputs &amp; Outputs'!$B$6</f>
        <v>11.410264517838208</v>
      </c>
      <c r="B456">
        <f>B455+C456*'Inputs &amp; Outputs'!$B$6</f>
        <v>-2.6890264969254822</v>
      </c>
      <c r="C456">
        <f>C455+D455*'Inputs &amp; Outputs'!$B$6</f>
        <v>3.8828360249782645</v>
      </c>
      <c r="D456">
        <f>(-'Inputs &amp; Outputs'!$B$4*B456)/'Inputs &amp; Outputs'!$B$5</f>
        <v>0.67225662423137056</v>
      </c>
      <c r="E456">
        <f>1/2*'Inputs &amp; Outputs'!$B$5*'Iterative Steps'!C456^2</f>
        <v>150.76415596869009</v>
      </c>
      <c r="F456">
        <f>1/2*'Inputs &amp; Outputs'!$B$4*'Iterative Steps'!B456^2</f>
        <v>18.077158752918326</v>
      </c>
      <c r="G456">
        <f t="shared" si="8"/>
        <v>168.84131472160843</v>
      </c>
    </row>
    <row r="457" spans="1:7" x14ac:dyDescent="0.2">
      <c r="A457">
        <f>A456+'Inputs &amp; Outputs'!$B$6</f>
        <v>11.435397259066926</v>
      </c>
      <c r="B457">
        <f>B456+C457*'Inputs &amp; Outputs'!$B$6</f>
        <v>-2.591015549832179</v>
      </c>
      <c r="C457">
        <f>C456+D456*'Inputs &amp; Outputs'!$B$6</f>
        <v>3.8997316767543633</v>
      </c>
      <c r="D457">
        <f>(-'Inputs &amp; Outputs'!$B$4*B457)/'Inputs &amp; Outputs'!$B$5</f>
        <v>0.64775388745804474</v>
      </c>
      <c r="E457">
        <f>1/2*'Inputs &amp; Outputs'!$B$5*'Iterative Steps'!C457^2</f>
        <v>152.07907150681399</v>
      </c>
      <c r="F457">
        <f>1/2*'Inputs &amp; Outputs'!$B$4*'Iterative Steps'!B457^2</f>
        <v>16.78340394868037</v>
      </c>
      <c r="G457">
        <f t="shared" si="8"/>
        <v>168.86247545549435</v>
      </c>
    </row>
    <row r="458" spans="1:7" x14ac:dyDescent="0.2">
      <c r="A458">
        <f>A457+'Inputs &amp; Outputs'!$B$6</f>
        <v>11.460530000295645</v>
      </c>
      <c r="B458">
        <f>B457+C458*'Inputs &amp; Outputs'!$B$6</f>
        <v>-2.4925954459632931</v>
      </c>
      <c r="C458">
        <f>C457+D457*'Inputs &amp; Outputs'!$B$6</f>
        <v>3.9160115075877426</v>
      </c>
      <c r="D458">
        <f>(-'Inputs &amp; Outputs'!$B$4*B458)/'Inputs &amp; Outputs'!$B$5</f>
        <v>0.62314886149082327</v>
      </c>
      <c r="E458">
        <f>1/2*'Inputs &amp; Outputs'!$B$5*'Iterative Steps'!C458^2</f>
        <v>153.35146127559625</v>
      </c>
      <c r="F458">
        <f>1/2*'Inputs &amp; Outputs'!$B$4*'Iterative Steps'!B458^2</f>
        <v>15.532580143092369</v>
      </c>
      <c r="G458">
        <f t="shared" si="8"/>
        <v>168.88404141868861</v>
      </c>
    </row>
    <row r="459" spans="1:7" x14ac:dyDescent="0.2">
      <c r="A459">
        <f>A458+'Inputs &amp; Outputs'!$B$6</f>
        <v>11.485662741524363</v>
      </c>
      <c r="B459">
        <f>B458+C459*'Inputs &amp; Outputs'!$B$6</f>
        <v>-2.3937817271986694</v>
      </c>
      <c r="C459">
        <f>C458+D458*'Inputs &amp; Outputs'!$B$6</f>
        <v>3.9316729466705618</v>
      </c>
      <c r="D459">
        <f>(-'Inputs &amp; Outputs'!$B$4*B459)/'Inputs &amp; Outputs'!$B$5</f>
        <v>0.59844543179966736</v>
      </c>
      <c r="E459">
        <f>1/2*'Inputs &amp; Outputs'!$B$5*'Iterative Steps'!C459^2</f>
        <v>154.58052159581177</v>
      </c>
      <c r="F459">
        <f>1/2*'Inputs &amp; Outputs'!$B$4*'Iterative Steps'!B459^2</f>
        <v>14.325477393675612</v>
      </c>
      <c r="G459">
        <f t="shared" si="8"/>
        <v>168.90599898948739</v>
      </c>
    </row>
    <row r="460" spans="1:7" x14ac:dyDescent="0.2">
      <c r="A460">
        <f>A459+'Inputs &amp; Outputs'!$B$6</f>
        <v>11.510795482753082</v>
      </c>
      <c r="B460">
        <f>B459+C460*'Inputs &amp; Outputs'!$B$6</f>
        <v>-2.2945899975753257</v>
      </c>
      <c r="C460">
        <f>C459+D459*'Inputs &amp; Outputs'!$B$6</f>
        <v>3.9467135208474913</v>
      </c>
      <c r="D460">
        <f>(-'Inputs &amp; Outputs'!$B$4*B460)/'Inputs &amp; Outputs'!$B$5</f>
        <v>0.57364749939383142</v>
      </c>
      <c r="E460">
        <f>1/2*'Inputs &amp; Outputs'!$B$5*'Iterative Steps'!C460^2</f>
        <v>155.76547615640402</v>
      </c>
      <c r="F460">
        <f>1/2*'Inputs &amp; Outputs'!$B$4*'Iterative Steps'!B460^2</f>
        <v>13.162858142431833</v>
      </c>
      <c r="G460">
        <f t="shared" si="8"/>
        <v>168.92833429883586</v>
      </c>
    </row>
    <row r="461" spans="1:7" x14ac:dyDescent="0.2">
      <c r="A461">
        <f>A460+'Inputs &amp; Outputs'!$B$6</f>
        <v>11.5359282239818</v>
      </c>
      <c r="B461">
        <f>B460+C461*'Inputs &amp; Outputs'!$B$6</f>
        <v>-2.1950359208233614</v>
      </c>
      <c r="C461">
        <f>C460+D460*'Inputs &amp; Outputs'!$B$6</f>
        <v>3.9611308550062576</v>
      </c>
      <c r="D461">
        <f>(-'Inputs &amp; Outputs'!$B$4*B461)/'Inputs &amp; Outputs'!$B$5</f>
        <v>0.54875898020584035</v>
      </c>
      <c r="E461">
        <f>1/2*'Inputs &amp; Outputs'!$B$5*'Iterative Steps'!C461^2</f>
        <v>156.90557650482606</v>
      </c>
      <c r="F461">
        <f>1/2*'Inputs &amp; Outputs'!$B$4*'Iterative Steps'!B461^2</f>
        <v>12.045456734262155</v>
      </c>
      <c r="G461">
        <f t="shared" si="8"/>
        <v>168.95103323908822</v>
      </c>
    </row>
    <row r="462" spans="1:7" x14ac:dyDescent="0.2">
      <c r="A462">
        <f>A461+'Inputs &amp; Outputs'!$B$6</f>
        <v>11.561060965210519</v>
      </c>
      <c r="B462">
        <f>B461+C462*'Inputs &amp; Outputs'!$B$6</f>
        <v>-2.0951352178924418</v>
      </c>
      <c r="C462">
        <f>C461+D461*'Inputs &amp; Outputs'!$B$6</f>
        <v>3.9749226724527063</v>
      </c>
      <c r="D462">
        <f>(-'Inputs &amp; Outputs'!$B$4*B462)/'Inputs &amp; Outputs'!$B$5</f>
        <v>0.52378380447311046</v>
      </c>
      <c r="E462">
        <f>1/2*'Inputs &amp; Outputs'!$B$5*'Iterative Steps'!C462^2</f>
        <v>158.00010251978566</v>
      </c>
      <c r="F462">
        <f>1/2*'Inputs &amp; Outputs'!$B$4*'Iterative Steps'!B462^2</f>
        <v>10.973978953133024</v>
      </c>
      <c r="G462">
        <f t="shared" si="8"/>
        <v>168.97408147291867</v>
      </c>
    </row>
    <row r="463" spans="1:7" x14ac:dyDescent="0.2">
      <c r="A463">
        <f>A462+'Inputs &amp; Outputs'!$B$6</f>
        <v>11.586193706439238</v>
      </c>
      <c r="B463">
        <f>B462+C463*'Inputs &amp; Outputs'!$B$6</f>
        <v>-1.9949036644692442</v>
      </c>
      <c r="C463">
        <f>C462+D462*'Inputs &amp; Outputs'!$B$6</f>
        <v>3.9880867952703225</v>
      </c>
      <c r="D463">
        <f>(-'Inputs &amp; Outputs'!$B$4*B463)/'Inputs &amp; Outputs'!$B$5</f>
        <v>0.49872591611731104</v>
      </c>
      <c r="E463">
        <f>1/2*'Inputs &amp; Outputs'!$B$5*'Iterative Steps'!C463^2</f>
        <v>159.04836286609512</v>
      </c>
      <c r="F463">
        <f>1/2*'Inputs &amp; Outputs'!$B$4*'Iterative Steps'!B463^2</f>
        <v>9.9491015762820467</v>
      </c>
      <c r="G463">
        <f t="shared" si="8"/>
        <v>168.99746444237718</v>
      </c>
    </row>
    <row r="464" spans="1:7" x14ac:dyDescent="0.2">
      <c r="A464">
        <f>A463+'Inputs &amp; Outputs'!$B$6</f>
        <v>11.611326447667956</v>
      </c>
      <c r="B464">
        <f>B463+C464*'Inputs &amp; Outputs'!$B$6</f>
        <v>-1.8943570884862611</v>
      </c>
      <c r="C464">
        <f>C463+D463*'Inputs &amp; Outputs'!$B$6</f>
        <v>4.0006211446641542</v>
      </c>
      <c r="D464">
        <f>(-'Inputs &amp; Outputs'!$B$4*B464)/'Inputs &amp; Outputs'!$B$5</f>
        <v>0.47358927212156521</v>
      </c>
      <c r="E464">
        <f>1/2*'Inputs &amp; Outputs'!$B$5*'Iterative Steps'!C464^2</f>
        <v>160.04969543133927</v>
      </c>
      <c r="F464">
        <f>1/2*'Inputs &amp; Outputs'!$B$4*'Iterative Steps'!B464^2</f>
        <v>8.9714719467453605</v>
      </c>
      <c r="G464">
        <f t="shared" si="8"/>
        <v>169.02116737808464</v>
      </c>
    </row>
    <row r="465" spans="1:7" x14ac:dyDescent="0.2">
      <c r="A465">
        <f>A464+'Inputs &amp; Outputs'!$B$6</f>
        <v>11.636459188896675</v>
      </c>
      <c r="B465">
        <f>B464+C465*'Inputs &amp; Outputs'!$B$6</f>
        <v>-1.7935113676223537</v>
      </c>
      <c r="C465">
        <f>C464+D464*'Inputs &amp; Outputs'!$B$6</f>
        <v>4.0125237412890824</v>
      </c>
      <c r="D465">
        <f>(-'Inputs &amp; Outputs'!$B$4*B465)/'Inputs &amp; Outputs'!$B$5</f>
        <v>0.44837784190558844</v>
      </c>
      <c r="E465">
        <f>1/2*'Inputs &amp; Outputs'!$B$5*'Iterative Steps'!C465^2</f>
        <v>161.00346774408536</v>
      </c>
      <c r="F465">
        <f>1/2*'Inputs &amp; Outputs'!$B$4*'Iterative Steps'!B465^2</f>
        <v>8.0417075644765141</v>
      </c>
      <c r="G465">
        <f t="shared" si="8"/>
        <v>169.04517530856188</v>
      </c>
    </row>
    <row r="466" spans="1:7" x14ac:dyDescent="0.2">
      <c r="A466">
        <f>A465+'Inputs &amp; Outputs'!$B$6</f>
        <v>11.661591930125393</v>
      </c>
      <c r="B466">
        <f>B465+C466*'Inputs &amp; Outputs'!$B$6</f>
        <v>-1.6923824267954499</v>
      </c>
      <c r="C466">
        <f>C465+D465*'Inputs &amp; Outputs'!$B$6</f>
        <v>4.0237927055623866</v>
      </c>
      <c r="D466">
        <f>(-'Inputs &amp; Outputs'!$B$4*B466)/'Inputs &amp; Outputs'!$B$5</f>
        <v>0.42309560669886254</v>
      </c>
      <c r="E466">
        <f>1/2*'Inputs &amp; Outputs'!$B$5*'Iterative Steps'!C466^2</f>
        <v>161.90907737337071</v>
      </c>
      <c r="F466">
        <f>1/2*'Inputs &amp; Outputs'!$B$4*'Iterative Steps'!B466^2</f>
        <v>7.1603956963151401</v>
      </c>
      <c r="G466">
        <f t="shared" si="8"/>
        <v>169.06947306968584</v>
      </c>
    </row>
    <row r="467" spans="1:7" x14ac:dyDescent="0.2">
      <c r="A467">
        <f>A466+'Inputs &amp; Outputs'!$B$6</f>
        <v>11.686724671354112</v>
      </c>
      <c r="B467">
        <f>B466+C467*'Inputs &amp; Outputs'!$B$6</f>
        <v>-1.5909862356477809</v>
      </c>
      <c r="C467">
        <f>C466+D466*'Inputs &amp; Outputs'!$B$6</f>
        <v>4.0344262579605568</v>
      </c>
      <c r="D467">
        <f>(-'Inputs &amp; Outputs'!$B$4*B467)/'Inputs &amp; Outputs'!$B$5</f>
        <v>0.39774655891194521</v>
      </c>
      <c r="E467">
        <f>1/2*'Inputs &amp; Outputs'!$B$5*'Iterative Steps'!C467^2</f>
        <v>162.76595230921623</v>
      </c>
      <c r="F467">
        <f>1/2*'Inputs &amp; Outputs'!$B$4*'Iterative Steps'!B467^2</f>
        <v>6.3280930050517403</v>
      </c>
      <c r="G467">
        <f t="shared" si="8"/>
        <v>169.09404531426796</v>
      </c>
    </row>
    <row r="468" spans="1:7" x14ac:dyDescent="0.2">
      <c r="A468">
        <f>A467+'Inputs &amp; Outputs'!$B$6</f>
        <v>11.71185741258283</v>
      </c>
      <c r="B468">
        <f>B467+C468*'Inputs &amp; Outputs'!$B$6</f>
        <v>-1.4893388060240569</v>
      </c>
      <c r="C468">
        <f>C467+D467*'Inputs &amp; Outputs'!$B$6</f>
        <v>4.0444227193003037</v>
      </c>
      <c r="D468">
        <f>(-'Inputs &amp; Outputs'!$B$4*B468)/'Inputs &amp; Outputs'!$B$5</f>
        <v>0.37233470150601422</v>
      </c>
      <c r="E468">
        <f>1/2*'Inputs &amp; Outputs'!$B$5*'Iterative Steps'!C468^2</f>
        <v>163.57355132392462</v>
      </c>
      <c r="F468">
        <f>1/2*'Inputs &amp; Outputs'!$B$4*'Iterative Steps'!B468^2</f>
        <v>5.5453251978229083</v>
      </c>
      <c r="G468">
        <f t="shared" si="8"/>
        <v>169.11887652174752</v>
      </c>
    </row>
    <row r="469" spans="1:7" x14ac:dyDescent="0.2">
      <c r="A469">
        <f>A468+'Inputs &amp; Outputs'!$B$6</f>
        <v>11.736990153811549</v>
      </c>
      <c r="B469">
        <f>B468+C469*'Inputs &amp; Outputs'!$B$6</f>
        <v>-1.3874561894429787</v>
      </c>
      <c r="C469">
        <f>C468+D468*'Inputs &amp; Outputs'!$B$6</f>
        <v>4.0537805110037262</v>
      </c>
      <c r="D469">
        <f>(-'Inputs &amp; Outputs'!$B$4*B469)/'Inputs &amp; Outputs'!$B$5</f>
        <v>0.34686404736074467</v>
      </c>
      <c r="E469">
        <f>1/2*'Inputs &amp; Outputs'!$B$5*'Iterative Steps'!C469^2</f>
        <v>164.33136431393632</v>
      </c>
      <c r="F469">
        <f>1/2*'Inputs &amp; Outputs'!$B$4*'Iterative Steps'!B469^2</f>
        <v>4.8125866940590765</v>
      </c>
      <c r="G469">
        <f t="shared" si="8"/>
        <v>169.14395100799538</v>
      </c>
    </row>
    <row r="470" spans="1:7" x14ac:dyDescent="0.2">
      <c r="A470">
        <f>A469+'Inputs &amp; Outputs'!$B$6</f>
        <v>11.762122895040267</v>
      </c>
      <c r="B470">
        <f>B469+C470*'Inputs &amp; Outputs'!$B$6</f>
        <v>-1.2853544745624821</v>
      </c>
      <c r="C470">
        <f>C469+D469*'Inputs &amp; Outputs'!$B$6</f>
        <v>4.0624981553475896</v>
      </c>
      <c r="D470">
        <f>(-'Inputs &amp; Outputs'!$B$4*B470)/'Inputs &amp; Outputs'!$B$5</f>
        <v>0.32133861864062052</v>
      </c>
      <c r="E470">
        <f>1/2*'Inputs &amp; Outputs'!$B$5*'Iterative Steps'!C470^2</f>
        <v>165.03891262202569</v>
      </c>
      <c r="F470">
        <f>1/2*'Inputs &amp; Outputs'!$B$4*'Iterative Steps'!B470^2</f>
        <v>4.1303403131944858</v>
      </c>
      <c r="G470">
        <f t="shared" si="8"/>
        <v>169.16925293522019</v>
      </c>
    </row>
    <row r="471" spans="1:7" x14ac:dyDescent="0.2">
      <c r="A471">
        <f>A470+'Inputs &amp; Outputs'!$B$6</f>
        <v>11.787255636268986</v>
      </c>
      <c r="B471">
        <f>B470+C471*'Inputs &amp; Outputs'!$B$6</f>
        <v>-1.1830497846391199</v>
      </c>
      <c r="C471">
        <f>C470+D470*'Inputs &amp; Outputs'!$B$6</f>
        <v>4.0705742756966785</v>
      </c>
      <c r="D471">
        <f>(-'Inputs &amp; Outputs'!$B$4*B471)/'Inputs &amp; Outputs'!$B$5</f>
        <v>0.29576244615977998</v>
      </c>
      <c r="E471">
        <f>1/2*'Inputs &amp; Outputs'!$B$5*'Iterative Steps'!C471^2</f>
        <v>165.6957493396354</v>
      </c>
      <c r="F471">
        <f>1/2*'Inputs &amp; Outputs'!$B$4*'Iterative Steps'!B471^2</f>
        <v>3.4990169823366699</v>
      </c>
      <c r="G471">
        <f t="shared" si="8"/>
        <v>169.19476632197205</v>
      </c>
    </row>
    <row r="472" spans="1:7" x14ac:dyDescent="0.2">
      <c r="A472">
        <f>A471+'Inputs &amp; Outputs'!$B$6</f>
        <v>11.812388377497705</v>
      </c>
      <c r="B472">
        <f>B471+C472*'Inputs &amp; Outputs'!$B$6</f>
        <v>-1.0805582749819789</v>
      </c>
      <c r="C472">
        <f>C471+D471*'Inputs &amp; Outputs'!$B$6</f>
        <v>4.0780075967211848</v>
      </c>
      <c r="D472">
        <f>(-'Inputs &amp; Outputs'!$B$4*B472)/'Inputs &amp; Outputs'!$B$5</f>
        <v>0.27013956874549472</v>
      </c>
      <c r="E472">
        <f>1/2*'Inputs &amp; Outputs'!$B$5*'Iterative Steps'!C472^2</f>
        <v>166.30145958915693</v>
      </c>
      <c r="F472">
        <f>1/2*'Inputs &amp; Outputs'!$B$4*'Iterative Steps'!B472^2</f>
        <v>2.9190154640800747</v>
      </c>
      <c r="G472">
        <f t="shared" si="8"/>
        <v>169.22047505323701</v>
      </c>
    </row>
    <row r="473" spans="1:7" x14ac:dyDescent="0.2">
      <c r="A473">
        <f>A472+'Inputs &amp; Outputs'!$B$6</f>
        <v>11.837521118726423</v>
      </c>
      <c r="B473">
        <f>B472+C473*'Inputs &amp; Outputs'!$B$6</f>
        <v>-0.97789613040153545</v>
      </c>
      <c r="C473">
        <f>C472+D472*'Inputs &amp; Outputs'!$B$6</f>
        <v>4.0847969445981027</v>
      </c>
      <c r="D473">
        <f>(-'Inputs &amp; Outputs'!$B$4*B473)/'Inputs &amp; Outputs'!$B$5</f>
        <v>0.24447403260038386</v>
      </c>
      <c r="E473">
        <f>1/2*'Inputs &amp; Outputs'!$B$5*'Iterative Steps'!C473^2</f>
        <v>166.85566078597998</v>
      </c>
      <c r="F473">
        <f>1/2*'Inputs &amp; Outputs'!$B$4*'Iterative Steps'!B473^2</f>
        <v>2.390702104635742</v>
      </c>
      <c r="G473">
        <f t="shared" si="8"/>
        <v>169.24636289061573</v>
      </c>
    </row>
    <row r="474" spans="1:7" x14ac:dyDescent="0.2">
      <c r="A474">
        <f>A473+'Inputs &amp; Outputs'!$B$6</f>
        <v>11.862653859955142</v>
      </c>
      <c r="B474">
        <f>B473+C474*'Inputs &amp; Outputs'!$B$6</f>
        <v>-0.87507956265385323</v>
      </c>
      <c r="C474">
        <f>C473+D473*'Inputs &amp; Outputs'!$B$6</f>
        <v>4.0909412471965894</v>
      </c>
      <c r="D474">
        <f>(-'Inputs &amp; Outputs'!$B$4*B474)/'Inputs &amp; Outputs'!$B$5</f>
        <v>0.21876989066346333</v>
      </c>
      <c r="E474">
        <f>1/2*'Inputs &amp; Outputs'!$B$5*'Iterative Steps'!C474^2</f>
        <v>167.35800288014386</v>
      </c>
      <c r="F474">
        <f>1/2*'Inputs &amp; Outputs'!$B$4*'Iterative Steps'!B474^2</f>
        <v>1.9144106024361476</v>
      </c>
      <c r="G474">
        <f t="shared" si="8"/>
        <v>169.27241348257999</v>
      </c>
    </row>
    <row r="475" spans="1:7" x14ac:dyDescent="0.2">
      <c r="A475">
        <f>A474+'Inputs &amp; Outputs'!$B$6</f>
        <v>11.88778660118386</v>
      </c>
      <c r="B475">
        <f>B474+C475*'Inputs &amp; Outputs'!$B$6</f>
        <v>-0.77212480788052507</v>
      </c>
      <c r="C475">
        <f>C474+D474*'Inputs &amp; Outputs'!$B$6</f>
        <v>4.0964395342472688</v>
      </c>
      <c r="D475">
        <f>(-'Inputs &amp; Outputs'!$B$4*B475)/'Inputs &amp; Outputs'!$B$5</f>
        <v>0.19303120197013127</v>
      </c>
      <c r="E475">
        <f>1/2*'Inputs &amp; Outputs'!$B$5*'Iterative Steps'!C475^2</f>
        <v>167.80816857743983</v>
      </c>
      <c r="F475">
        <f>1/2*'Inputs &amp; Outputs'!$B$4*'Iterative Steps'!B475^2</f>
        <v>1.4904417973613442</v>
      </c>
      <c r="G475">
        <f t="shared" si="8"/>
        <v>169.29861037480117</v>
      </c>
    </row>
    <row r="476" spans="1:7" x14ac:dyDescent="0.2">
      <c r="A476">
        <f>A475+'Inputs &amp; Outputs'!$B$6</f>
        <v>11.912919342412579</v>
      </c>
      <c r="B476">
        <f>B475+C476*'Inputs &amp; Outputs'!$B$6</f>
        <v>-0.66904812404476421</v>
      </c>
      <c r="C476">
        <f>C475+D475*'Inputs &amp; Outputs'!$B$6</f>
        <v>4.1012909374954525</v>
      </c>
      <c r="D476">
        <f>(-'Inputs &amp; Outputs'!$B$4*B476)/'Inputs &amp; Outputs'!$B$5</f>
        <v>0.16726203101119105</v>
      </c>
      <c r="E476">
        <f>1/2*'Inputs &amp; Outputs'!$B$5*'Iterative Steps'!C476^2</f>
        <v>168.20587353982324</v>
      </c>
      <c r="F476">
        <f>1/2*'Inputs &amp; Outputs'!$B$4*'Iterative Steps'!B476^2</f>
        <v>1.1190634807195456</v>
      </c>
      <c r="G476">
        <f t="shared" si="8"/>
        <v>169.32493702054279</v>
      </c>
    </row>
    <row r="477" spans="1:7" x14ac:dyDescent="0.2">
      <c r="A477">
        <f>A476+'Inputs &amp; Outputs'!$B$6</f>
        <v>11.938052083641297</v>
      </c>
      <c r="B477">
        <f>B476+C477*'Inputs &amp; Outputs'!$B$6</f>
        <v>-0.56586578836404955</v>
      </c>
      <c r="C477">
        <f>C476+D476*'Inputs &amp; Outputs'!$B$6</f>
        <v>4.1054946908382464</v>
      </c>
      <c r="D477">
        <f>(-'Inputs &amp; Outputs'!$B$4*B477)/'Inputs &amp; Outputs'!$B$5</f>
        <v>0.14146644709101239</v>
      </c>
      <c r="E477">
        <f>1/2*'Inputs &amp; Outputs'!$B$5*'Iterative Steps'!C477^2</f>
        <v>168.5508665650103</v>
      </c>
      <c r="F477">
        <f>1/2*'Inputs &amp; Outputs'!$B$4*'Iterative Steps'!B477^2</f>
        <v>0.80051022610216838</v>
      </c>
      <c r="G477">
        <f t="shared" si="8"/>
        <v>169.35137679111247</v>
      </c>
    </row>
    <row r="478" spans="1:7" x14ac:dyDescent="0.2">
      <c r="A478">
        <f>A477+'Inputs &amp; Outputs'!$B$6</f>
        <v>11.963184824870016</v>
      </c>
      <c r="B478">
        <f>B477+C478*'Inputs &amp; Outputs'!$B$6</f>
        <v>-0.46259409473973068</v>
      </c>
      <c r="C478">
        <f>C477+D477*'Inputs &amp; Outputs'!$B$6</f>
        <v>4.1090501304455307</v>
      </c>
      <c r="D478">
        <f>(-'Inputs &amp; Outputs'!$B$4*B478)/'Inputs &amp; Outputs'!$B$5</f>
        <v>0.11564852368493268</v>
      </c>
      <c r="E478">
        <f>1/2*'Inputs &amp; Outputs'!$B$5*'Iterative Steps'!C478^2</f>
        <v>168.84292974514435</v>
      </c>
      <c r="F478">
        <f>1/2*'Inputs &amp; Outputs'!$B$4*'Iterative Steps'!B478^2</f>
        <v>0.53498324122017726</v>
      </c>
      <c r="G478">
        <f t="shared" si="8"/>
        <v>169.37791298636452</v>
      </c>
    </row>
    <row r="479" spans="1:7" x14ac:dyDescent="0.2">
      <c r="A479">
        <f>A478+'Inputs &amp; Outputs'!$B$6</f>
        <v>11.988317566098734</v>
      </c>
      <c r="B479">
        <f>B478+C479*'Inputs &amp; Outputs'!$B$6</f>
        <v>-0.35924935118399803</v>
      </c>
      <c r="C479">
        <f>C478+D478*'Inputs &amp; Outputs'!$B$6</f>
        <v>4.1119566948647872</v>
      </c>
      <c r="D479">
        <f>(-'Inputs &amp; Outputs'!$B$4*B479)/'Inputs &amp; Outputs'!$B$5</f>
        <v>8.9812337795999508E-2</v>
      </c>
      <c r="E479">
        <f>1/2*'Inputs &amp; Outputs'!$B$5*'Iterative Steps'!C479^2</f>
        <v>169.08187860443346</v>
      </c>
      <c r="F479">
        <f>1/2*'Inputs &amp; Outputs'!$B$4*'Iterative Steps'!B479^2</f>
        <v>0.32265024081530891</v>
      </c>
      <c r="G479">
        <f t="shared" si="8"/>
        <v>169.40452884524876</v>
      </c>
    </row>
    <row r="480" spans="1:7" x14ac:dyDescent="0.2">
      <c r="A480">
        <f>A479+'Inputs &amp; Outputs'!$B$6</f>
        <v>12.013450307327453</v>
      </c>
      <c r="B480">
        <f>B479+C480*'Inputs &amp; Outputs'!$B$6</f>
        <v>-0.25584787724462482</v>
      </c>
      <c r="C480">
        <f>C479+D479*'Inputs &amp; Outputs'!$B$6</f>
        <v>4.1142139251097607</v>
      </c>
      <c r="D480">
        <f>(-'Inputs &amp; Outputs'!$B$4*B480)/'Inputs &amp; Outputs'!$B$5</f>
        <v>6.3961969311156205E-2</v>
      </c>
      <c r="E480">
        <f>1/2*'Inputs &amp; Outputs'!$B$5*'Iterative Steps'!C480^2</f>
        <v>169.26756221567064</v>
      </c>
      <c r="F480">
        <f>1/2*'Inputs &amp; Outputs'!$B$4*'Iterative Steps'!B480^2</f>
        <v>0.16364534072645154</v>
      </c>
      <c r="G480">
        <f t="shared" si="8"/>
        <v>169.43120755639708</v>
      </c>
    </row>
    <row r="481" spans="1:7" x14ac:dyDescent="0.2">
      <c r="A481">
        <f>A480+'Inputs &amp; Outputs'!$B$6</f>
        <v>12.038583048556172</v>
      </c>
      <c r="B481">
        <f>B480+C481*'Inputs &amp; Outputs'!$B$6</f>
        <v>-0.15240600142788741</v>
      </c>
      <c r="C481">
        <f>C480+D480*'Inputs &amp; Outputs'!$B$6</f>
        <v>4.115821464732937</v>
      </c>
      <c r="D481">
        <f>(-'Inputs &amp; Outputs'!$B$4*B481)/'Inputs &amp; Outputs'!$B$5</f>
        <v>3.8101500356971851E-2</v>
      </c>
      <c r="E481">
        <f>1/2*'Inputs &amp; Outputs'!$B$5*'Iterative Steps'!C481^2</f>
        <v>169.39986329556379</v>
      </c>
      <c r="F481">
        <f>1/2*'Inputs &amp; Outputs'!$B$4*'Iterative Steps'!B481^2</f>
        <v>5.8068973178093043E-2</v>
      </c>
      <c r="G481">
        <f t="shared" si="8"/>
        <v>169.45793226874187</v>
      </c>
    </row>
    <row r="482" spans="1:7" x14ac:dyDescent="0.2">
      <c r="A482">
        <f>A481+'Inputs &amp; Outputs'!$B$6</f>
        <v>12.06371578978489</v>
      </c>
      <c r="B482">
        <f>B481+C482*'Inputs &amp; Outputs'!$B$6</f>
        <v>-4.8940058620070864E-2</v>
      </c>
      <c r="C482">
        <f>C481+D481*'Inputs &amp; Outputs'!$B$6</f>
        <v>4.1167790598818348</v>
      </c>
      <c r="D482">
        <f>(-'Inputs &amp; Outputs'!$B$4*B482)/'Inputs &amp; Outputs'!$B$5</f>
        <v>1.2235014655017716E-2</v>
      </c>
      <c r="E482">
        <f>1/2*'Inputs &amp; Outputs'!$B$5*'Iterative Steps'!C482^2</f>
        <v>169.47869827881564</v>
      </c>
      <c r="F482">
        <f>1/2*'Inputs &amp; Outputs'!$B$4*'Iterative Steps'!B482^2</f>
        <v>5.9878233443399313E-3</v>
      </c>
      <c r="G482">
        <f t="shared" si="8"/>
        <v>169.48468610215997</v>
      </c>
    </row>
    <row r="483" spans="1:7" x14ac:dyDescent="0.2">
      <c r="A483">
        <f>A482+'Inputs &amp; Outputs'!$B$6</f>
        <v>12.088848531013609</v>
      </c>
      <c r="B483">
        <f>B482+C483*'Inputs &amp; Outputs'!$B$6</f>
        <v>5.4533612492032826E-2</v>
      </c>
      <c r="C483">
        <f>C482+D482*'Inputs &amp; Outputs'!$B$6</f>
        <v>4.1170865593390893</v>
      </c>
      <c r="D483">
        <f>(-'Inputs &amp; Outputs'!$B$4*B483)/'Inputs &amp; Outputs'!$B$5</f>
        <v>-1.3633403123008207E-2</v>
      </c>
      <c r="E483">
        <f>1/2*'Inputs &amp; Outputs'!$B$5*'Iterative Steps'!C483^2</f>
        <v>169.50401737090579</v>
      </c>
      <c r="F483">
        <f>1/2*'Inputs &amp; Outputs'!$B$4*'Iterative Steps'!B483^2</f>
        <v>7.4347872285779968E-3</v>
      </c>
      <c r="G483">
        <f t="shared" si="8"/>
        <v>169.51145215813438</v>
      </c>
    </row>
    <row r="484" spans="1:7" x14ac:dyDescent="0.2">
      <c r="A484">
        <f>A483+'Inputs &amp; Outputs'!$B$6</f>
        <v>12.113981272242327</v>
      </c>
      <c r="B484">
        <f>B483+C484*'Inputs &amp; Outputs'!$B$6</f>
        <v>0.15799867200122678</v>
      </c>
      <c r="C484">
        <f>C483+D483*'Inputs &amp; Outputs'!$B$6</f>
        <v>4.1167439145463316</v>
      </c>
      <c r="D484">
        <f>(-'Inputs &amp; Outputs'!$B$4*B484)/'Inputs &amp; Outputs'!$B$5</f>
        <v>-3.9499668000306694E-2</v>
      </c>
      <c r="E484">
        <f>1/2*'Inputs &amp; Outputs'!$B$5*'Iterative Steps'!C484^2</f>
        <v>169.47580457954251</v>
      </c>
      <c r="F484">
        <f>1/2*'Inputs &amp; Outputs'!$B$4*'Iterative Steps'!B484^2</f>
        <v>6.2408950885378109E-2</v>
      </c>
      <c r="G484">
        <f t="shared" si="8"/>
        <v>169.5382135304279</v>
      </c>
    </row>
    <row r="485" spans="1:7" x14ac:dyDescent="0.2">
      <c r="A485">
        <f>A484+'Inputs &amp; Outputs'!$B$6</f>
        <v>12.139114013471046</v>
      </c>
      <c r="B485">
        <f>B484+C485*'Inputs &amp; Outputs'!$B$6</f>
        <v>0.26143878136020393</v>
      </c>
      <c r="C485">
        <f>C484+D484*'Inputs &amp; Outputs'!$B$6</f>
        <v>4.11575117961186</v>
      </c>
      <c r="D485">
        <f>(-'Inputs &amp; Outputs'!$B$4*B485)/'Inputs &amp; Outputs'!$B$5</f>
        <v>-6.5359695340050983E-2</v>
      </c>
      <c r="E485">
        <f>1/2*'Inputs &amp; Outputs'!$B$5*'Iterative Steps'!C485^2</f>
        <v>169.39407772476417</v>
      </c>
      <c r="F485">
        <f>1/2*'Inputs &amp; Outputs'!$B$4*'Iterative Steps'!B485^2</f>
        <v>0.1708755909977713</v>
      </c>
      <c r="G485">
        <f t="shared" si="8"/>
        <v>169.56495331576195</v>
      </c>
    </row>
    <row r="486" spans="1:7" x14ac:dyDescent="0.2">
      <c r="A486">
        <f>A485+'Inputs &amp; Outputs'!$B$6</f>
        <v>12.164246754699764</v>
      </c>
      <c r="B486">
        <f>B485+C486*'Inputs &amp; Outputs'!$B$6</f>
        <v>0.36483760596162707</v>
      </c>
      <c r="C486">
        <f>C485+D485*'Inputs &amp; Outputs'!$B$6</f>
        <v>4.1141085113020903</v>
      </c>
      <c r="D486">
        <f>(-'Inputs &amp; Outputs'!$B$4*B486)/'Inputs &amp; Outputs'!$B$5</f>
        <v>-9.1209401490406766E-2</v>
      </c>
      <c r="E486">
        <f>1/2*'Inputs &amp; Outputs'!$B$5*'Iterative Steps'!C486^2</f>
        <v>169.25888842768302</v>
      </c>
      <c r="F486">
        <f>1/2*'Inputs &amp; Outputs'!$B$4*'Iterative Steps'!B486^2</f>
        <v>0.33276619680952862</v>
      </c>
      <c r="G486">
        <f t="shared" si="8"/>
        <v>169.59165462449255</v>
      </c>
    </row>
    <row r="487" spans="1:7" x14ac:dyDescent="0.2">
      <c r="A487">
        <f>A486+'Inputs &amp; Outputs'!$B$6</f>
        <v>12.189379495928483</v>
      </c>
      <c r="B487">
        <f>B486+C487*'Inputs &amp; Outputs'!$B$6</f>
        <v>0.46817881771758646</v>
      </c>
      <c r="C487">
        <f>C486+D486*'Inputs &amp; Outputs'!$B$6</f>
        <v>4.111816169016806</v>
      </c>
      <c r="D487">
        <f>(-'Inputs &amp; Outputs'!$B$4*B487)/'Inputs &amp; Outputs'!$B$5</f>
        <v>-0.1170447044293966</v>
      </c>
      <c r="E487">
        <f>1/2*'Inputs &amp; Outputs'!$B$5*'Iterative Steps'!C487^2</f>
        <v>169.07032207788041</v>
      </c>
      <c r="F487">
        <f>1/2*'Inputs &amp; Outputs'!$B$4*'Iterative Steps'!B487^2</f>
        <v>0.5479785133985926</v>
      </c>
      <c r="G487">
        <f t="shared" si="8"/>
        <v>169.618300591279</v>
      </c>
    </row>
    <row r="488" spans="1:7" x14ac:dyDescent="0.2">
      <c r="A488">
        <f>A487+'Inputs &amp; Outputs'!$B$6</f>
        <v>12.214512237157201</v>
      </c>
      <c r="B488">
        <f>B487+C488*'Inputs &amp; Outputs'!$B$6</f>
        <v>0.57144609763802834</v>
      </c>
      <c r="C488">
        <f>C487+D487*'Inputs &amp; Outputs'!$B$6</f>
        <v>4.10887451474819</v>
      </c>
      <c r="D488">
        <f>(-'Inputs &amp; Outputs'!$B$4*B488)/'Inputs &amp; Outputs'!$B$5</f>
        <v>-0.14286152440950708</v>
      </c>
      <c r="E488">
        <f>1/2*'Inputs &amp; Outputs'!$B$5*'Iterative Steps'!C488^2</f>
        <v>168.82849777947175</v>
      </c>
      <c r="F488">
        <f>1/2*'Inputs &amp; Outputs'!$B$4*'Iterative Steps'!B488^2</f>
        <v>0.81637660626432751</v>
      </c>
      <c r="G488">
        <f t="shared" si="8"/>
        <v>169.64487438573607</v>
      </c>
    </row>
    <row r="489" spans="1:7" x14ac:dyDescent="0.2">
      <c r="A489">
        <f>A488+'Inputs &amp; Outputs'!$B$6</f>
        <v>12.23964497838592</v>
      </c>
      <c r="B489">
        <f>B488+C489*'Inputs &amp; Outputs'!$B$6</f>
        <v>0.67462313840774657</v>
      </c>
      <c r="C489">
        <f>C488+D488*'Inputs &amp; Outputs'!$B$6</f>
        <v>4.1052840130236659</v>
      </c>
      <c r="D489">
        <f>(-'Inputs &amp; Outputs'!$B$4*B489)/'Inputs &amp; Outputs'!$B$5</f>
        <v>-0.16865578460193664</v>
      </c>
      <c r="E489">
        <f>1/2*'Inputs &amp; Outputs'!$B$5*'Iterative Steps'!C489^2</f>
        <v>168.53356827587697</v>
      </c>
      <c r="F489">
        <f>1/2*'Inputs &amp; Outputs'!$B$4*'Iterative Steps'!B489^2</f>
        <v>1.1377909471877938</v>
      </c>
      <c r="G489">
        <f t="shared" si="8"/>
        <v>169.67135922306477</v>
      </c>
    </row>
    <row r="490" spans="1:7" x14ac:dyDescent="0.2">
      <c r="A490">
        <f>A489+'Inputs &amp; Outputs'!$B$6</f>
        <v>12.264777719614639</v>
      </c>
      <c r="B490">
        <f>B489+C490*'Inputs &amp; Outputs'!$B$6</f>
        <v>0.77769364696153032</v>
      </c>
      <c r="C490">
        <f>C489+D489*'Inputs &amp; Outputs'!$B$6</f>
        <v>4.1010452308325389</v>
      </c>
      <c r="D490">
        <f>(-'Inputs &amp; Outputs'!$B$4*B490)/'Inputs &amp; Outputs'!$B$5</f>
        <v>-0.19442341174038258</v>
      </c>
      <c r="E490">
        <f>1/2*'Inputs &amp; Outputs'!$B$5*'Iterative Steps'!C490^2</f>
        <v>168.18571985334313</v>
      </c>
      <c r="F490">
        <f>1/2*'Inputs &amp; Outputs'!$B$4*'Iterative Steps'!B490^2</f>
        <v>1.5120185213108135</v>
      </c>
      <c r="G490">
        <f t="shared" si="8"/>
        <v>169.69773837465394</v>
      </c>
    </row>
    <row r="491" spans="1:7" x14ac:dyDescent="0.2">
      <c r="A491">
        <f>A490+'Inputs &amp; Outputs'!$B$6</f>
        <v>12.289910460843357</v>
      </c>
      <c r="B491">
        <f>B490+C491*'Inputs &amp; Outputs'!$B$6</f>
        <v>0.88064134705706199</v>
      </c>
      <c r="C491">
        <f>C490+D490*'Inputs &amp; Outputs'!$B$6</f>
        <v>4.0961588375364633</v>
      </c>
      <c r="D491">
        <f>(-'Inputs &amp; Outputs'!$B$4*B491)/'Inputs &amp; Outputs'!$B$5</f>
        <v>-0.2201603367642655</v>
      </c>
      <c r="E491">
        <f>1/2*'Inputs &amp; Outputs'!$B$5*'Iterative Steps'!C491^2</f>
        <v>167.78517222328071</v>
      </c>
      <c r="F491">
        <f>1/2*'Inputs &amp; Outputs'!$B$4*'Iterative Steps'!B491^2</f>
        <v>1.9388229553661918</v>
      </c>
      <c r="G491">
        <f t="shared" si="8"/>
        <v>169.7239951786469</v>
      </c>
    </row>
    <row r="492" spans="1:7" x14ac:dyDescent="0.2">
      <c r="A492">
        <f>A491+'Inputs &amp; Outputs'!$B$6</f>
        <v>12.315043202072076</v>
      </c>
      <c r="B492">
        <f>B491+C492*'Inputs &amp; Outputs'!$B$6</f>
        <v>0.98344998184515853</v>
      </c>
      <c r="C492">
        <f>C491+D491*'Inputs &amp; Outputs'!$B$6</f>
        <v>4.0906256047637397</v>
      </c>
      <c r="D492">
        <f>(-'Inputs &amp; Outputs'!$B$4*B492)/'Inputs &amp; Outputs'!$B$5</f>
        <v>-0.24586249546128963</v>
      </c>
      <c r="E492">
        <f>1/2*'Inputs &amp; Outputs'!$B$5*'Iterative Steps'!C492^2</f>
        <v>167.3321783834871</v>
      </c>
      <c r="F492">
        <f>1/2*'Inputs &amp; Outputs'!$B$4*'Iterative Steps'!B492^2</f>
        <v>2.4179346669781063</v>
      </c>
      <c r="G492">
        <f t="shared" si="8"/>
        <v>169.75011305046522</v>
      </c>
    </row>
    <row r="493" spans="1:7" x14ac:dyDescent="0.2">
      <c r="A493">
        <f>A492+'Inputs &amp; Outputs'!$B$6</f>
        <v>12.340175943300794</v>
      </c>
      <c r="B493">
        <f>B492+C493*'Inputs &amp; Outputs'!$B$6</f>
        <v>1.08610331643695</v>
      </c>
      <c r="C493">
        <f>C492+D492*'Inputs &amp; Outputs'!$B$6</f>
        <v>4.0844464062874639</v>
      </c>
      <c r="D493">
        <f>(-'Inputs &amp; Outputs'!$B$4*B493)/'Inputs &amp; Outputs'!$B$5</f>
        <v>-0.2715258291092375</v>
      </c>
      <c r="E493">
        <f>1/2*'Inputs &amp; Outputs'!$B$5*'Iterative Steps'!C493^2</f>
        <v>166.82702445834579</v>
      </c>
      <c r="F493">
        <f>1/2*'Inputs &amp; Outputs'!$B$4*'Iterative Steps'!B493^2</f>
        <v>2.9490510349383543</v>
      </c>
      <c r="G493">
        <f t="shared" si="8"/>
        <v>169.77607549328414</v>
      </c>
    </row>
    <row r="494" spans="1:7" x14ac:dyDescent="0.2">
      <c r="A494">
        <f>A493+'Inputs &amp; Outputs'!$B$6</f>
        <v>12.365308684529513</v>
      </c>
      <c r="B494">
        <f>B493+C494*'Inputs &amp; Outputs'!$B$6</f>
        <v>1.1885851404675902</v>
      </c>
      <c r="C494">
        <f>C493+D493*'Inputs &amp; Outputs'!$B$6</f>
        <v>4.0776222178875479</v>
      </c>
      <c r="D494">
        <f>(-'Inputs &amp; Outputs'!$B$4*B494)/'Inputs &amp; Outputs'!$B$5</f>
        <v>-0.29714628511689756</v>
      </c>
      <c r="E494">
        <f>1/2*'Inputs &amp; Outputs'!$B$5*'Iterative Steps'!C494^2</f>
        <v>166.27002951810167</v>
      </c>
      <c r="F494">
        <f>1/2*'Inputs &amp; Outputs'!$B$4*'Iterative Steps'!B494^2</f>
        <v>3.531836590350903</v>
      </c>
      <c r="G494">
        <f t="shared" si="8"/>
        <v>169.80186610845257</v>
      </c>
    </row>
    <row r="495" spans="1:7" x14ac:dyDescent="0.2">
      <c r="A495">
        <f>A494+'Inputs &amp; Outputs'!$B$6</f>
        <v>12.390441425758231</v>
      </c>
      <c r="B495">
        <f>B494+C495*'Inputs &amp; Outputs'!$B$6</f>
        <v>1.2908792706560956</v>
      </c>
      <c r="C495">
        <f>C494+D494*'Inputs &amp; Outputs'!$B$6</f>
        <v>4.0701541171966298</v>
      </c>
      <c r="D495">
        <f>(-'Inputs &amp; Outputs'!$B$4*B495)/'Inputs &amp; Outputs'!$B$5</f>
        <v>-0.32271981766402391</v>
      </c>
      <c r="E495">
        <f>1/2*'Inputs &amp; Outputs'!$B$5*'Iterative Steps'!C495^2</f>
        <v>165.66154537732675</v>
      </c>
      <c r="F495">
        <f>1/2*'Inputs &amp; Outputs'!$B$4*'Iterative Steps'!B495^2</f>
        <v>4.1659232285240337</v>
      </c>
      <c r="G495">
        <f t="shared" si="8"/>
        <v>169.82746860585078</v>
      </c>
    </row>
    <row r="496" spans="1:7" x14ac:dyDescent="0.2">
      <c r="A496">
        <f>A495+'Inputs &amp; Outputs'!$B$6</f>
        <v>12.41557416698695</v>
      </c>
      <c r="B496">
        <f>B495+C496*'Inputs &amp; Outputs'!$B$6</f>
        <v>1.3929695533609061</v>
      </c>
      <c r="C496">
        <f>C495+D495*'Inputs &amp; Outputs'!$B$6</f>
        <v>4.062043283529901</v>
      </c>
      <c r="D496">
        <f>(-'Inputs &amp; Outputs'!$B$4*B496)/'Inputs &amp; Outputs'!$B$5</f>
        <v>-0.34824238834022653</v>
      </c>
      <c r="E496">
        <f>1/2*'Inputs &amp; Outputs'!$B$5*'Iterative Steps'!C496^2</f>
        <v>165.0019563727038</v>
      </c>
      <c r="F496">
        <f>1/2*'Inputs &amp; Outputs'!$B$4*'Iterative Steps'!B496^2</f>
        <v>4.8509104414762056</v>
      </c>
      <c r="G496">
        <f t="shared" si="8"/>
        <v>169.85286681418</v>
      </c>
    </row>
    <row r="497" spans="1:7" x14ac:dyDescent="0.2">
      <c r="A497">
        <f>A496+'Inputs &amp; Outputs'!$B$6</f>
        <v>12.440706908215668</v>
      </c>
      <c r="B497">
        <f>B496+C497*'Inputs &amp; Outputs'!$B$6</f>
        <v>1.4948398671307657</v>
      </c>
      <c r="C497">
        <f>C496+D496*'Inputs &amp; Outputs'!$B$6</f>
        <v>4.0532909976988751</v>
      </c>
      <c r="D497">
        <f>(-'Inputs &amp; Outputs'!$B$4*B497)/'Inputs &amp; Outputs'!$B$5</f>
        <v>-0.37370996678269142</v>
      </c>
      <c r="E497">
        <f>1/2*'Inputs &amp; Outputs'!$B$5*'Iterative Steps'!C497^2</f>
        <v>164.29167912026742</v>
      </c>
      <c r="F497">
        <f>1/2*'Inputs &amp; Outputs'!$B$4*'Iterative Steps'!B497^2</f>
        <v>5.5863655709088134</v>
      </c>
      <c r="G497">
        <f t="shared" si="8"/>
        <v>169.87804469117623</v>
      </c>
    </row>
    <row r="498" spans="1:7" x14ac:dyDescent="0.2">
      <c r="A498">
        <f>A497+'Inputs &amp; Outputs'!$B$6</f>
        <v>12.465839649444387</v>
      </c>
      <c r="B498">
        <f>B497+C498*'Inputs &amp; Outputs'!$B$6</f>
        <v>1.5964741252505201</v>
      </c>
      <c r="C498">
        <f>C497+D497*'Inputs &amp; Outputs'!$B$6</f>
        <v>4.0438986418091325</v>
      </c>
      <c r="D498">
        <f>(-'Inputs &amp; Outputs'!$B$4*B498)/'Inputs &amp; Outputs'!$B$5</f>
        <v>-0.39911853131263003</v>
      </c>
      <c r="E498">
        <f>1/2*'Inputs &amp; Outputs'!$B$5*'Iterative Steps'!C498^2</f>
        <v>163.53116225225747</v>
      </c>
      <c r="F498">
        <f>1/2*'Inputs &amp; Outputs'!$B$4*'Iterative Steps'!B498^2</f>
        <v>6.3718240814860341</v>
      </c>
      <c r="G498">
        <f t="shared" si="8"/>
        <v>169.90298633374351</v>
      </c>
    </row>
    <row r="499" spans="1:7" x14ac:dyDescent="0.2">
      <c r="A499">
        <f>A498+'Inputs &amp; Outputs'!$B$6</f>
        <v>12.490972390673106</v>
      </c>
      <c r="B499">
        <f>B498+C499*'Inputs &amp; Outputs'!$B$6</f>
        <v>1.6978562782814299</v>
      </c>
      <c r="C499">
        <f>C498+D498*'Inputs &amp; Outputs'!$B$6</f>
        <v>4.0338676990420659</v>
      </c>
      <c r="D499">
        <f>(-'Inputs &amp; Outputs'!$B$4*B499)/'Inputs &amp; Outputs'!$B$5</f>
        <v>-0.42446406957035754</v>
      </c>
      <c r="E499">
        <f>1/2*'Inputs &amp; Outputs'!$B$5*'Iterative Steps'!C499^2</f>
        <v>162.7208861337493</v>
      </c>
      <c r="F499">
        <f>1/2*'Inputs &amp; Outputs'!$B$4*'Iterative Steps'!B499^2</f>
        <v>7.2067898542491715</v>
      </c>
      <c r="G499">
        <f t="shared" si="8"/>
        <v>169.92767598799847</v>
      </c>
    </row>
    <row r="500" spans="1:7" x14ac:dyDescent="0.2">
      <c r="A500">
        <f>A499+'Inputs &amp; Outputs'!$B$6</f>
        <v>12.516105131901824</v>
      </c>
      <c r="B500">
        <f>B499+C500*'Inputs &amp; Outputs'!$B$6</f>
        <v>1.798970316595595</v>
      </c>
      <c r="C500">
        <f>C499+D499*'Inputs &amp; Outputs'!$B$6</f>
        <v>4.0231997534206654</v>
      </c>
      <c r="D500">
        <f>(-'Inputs &amp; Outputs'!$B$4*B500)/'Inputs &amp; Outputs'!$B$5</f>
        <v>-0.44974257914889881</v>
      </c>
      <c r="E500">
        <f>1/2*'Inputs &amp; Outputs'!$B$5*'Iterative Steps'!C500^2</f>
        <v>161.86136255924106</v>
      </c>
      <c r="F500">
        <f>1/2*'Inputs &amp; Outputs'!$B$4*'Iterative Steps'!B500^2</f>
        <v>8.0907354999801377</v>
      </c>
      <c r="G500">
        <f t="shared" si="8"/>
        <v>169.95209805922119</v>
      </c>
    </row>
    <row r="501" spans="1:7" x14ac:dyDescent="0.2">
      <c r="A501">
        <f>A500+'Inputs &amp; Outputs'!$B$6</f>
        <v>12.541237873130543</v>
      </c>
      <c r="B501">
        <f>B500+C501*'Inputs &amp; Outputs'!$B$6</f>
        <v>1.8998002729040944</v>
      </c>
      <c r="C501">
        <f>C500+D500*'Inputs &amp; Outputs'!$B$6</f>
        <v>4.0118964895593798</v>
      </c>
      <c r="D501">
        <f>(-'Inputs &amp; Outputs'!$B$4*B501)/'Inputs &amp; Outputs'!$B$5</f>
        <v>-0.47495006822602359</v>
      </c>
      <c r="E501">
        <f>1/2*'Inputs &amp; Outputs'!$B$5*'Iterative Steps'!C501^2</f>
        <v>160.95313442938874</v>
      </c>
      <c r="F501">
        <f>1/2*'Inputs &amp; Outputs'!$B$4*'Iterative Steps'!B501^2</f>
        <v>9.0231026923161792</v>
      </c>
      <c r="G501">
        <f t="shared" si="8"/>
        <v>169.97623712170491</v>
      </c>
    </row>
    <row r="502" spans="1:7" x14ac:dyDescent="0.2">
      <c r="A502">
        <f>A501+'Inputs &amp; Outputs'!$B$6</f>
        <v>12.566370614359261</v>
      </c>
      <c r="B502">
        <f>B501+C502*'Inputs &amp; Outputs'!$B$6</f>
        <v>2.0003302247784394</v>
      </c>
      <c r="C502">
        <f>C501+D501*'Inputs &amp; Outputs'!$B$6</f>
        <v>3.9999596923980931</v>
      </c>
      <c r="D502">
        <f>(-'Inputs &amp; Outputs'!$B$4*B502)/'Inputs &amp; Outputs'!$B$5</f>
        <v>-0.50008255619460984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 &amp; Outputs</vt:lpstr>
      <vt:lpstr>Calculations</vt:lpstr>
      <vt:lpstr>Analytical Steps</vt:lpstr>
      <vt:lpstr>Iterative Steps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Young</dc:creator>
  <cp:lastModifiedBy>Mitchell Young</cp:lastModifiedBy>
  <dcterms:created xsi:type="dcterms:W3CDTF">2018-01-18T19:00:00Z</dcterms:created>
  <dcterms:modified xsi:type="dcterms:W3CDTF">2018-01-23T16:23:42Z</dcterms:modified>
</cp:coreProperties>
</file>